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kutc-my.sharepoint.com/personal/k364927_kansai-u_ac_jp/Documents/"/>
    </mc:Choice>
  </mc:AlternateContent>
  <xr:revisionPtr revIDLastSave="754" documentId="6_{60DCA3B2-8C73-4021-A810-92A0E25654A5}" xr6:coauthVersionLast="47" xr6:coauthVersionMax="47" xr10:uidLastSave="{2471018D-D764-405D-A8E4-F3929487AF94}"/>
  <workbookProtection workbookAlgorithmName="SHA-512" workbookHashValue="tKa5EOQclkcwE9CugfuE9i7otNurws0ER1vvMTP8po5n8skzzLp2pjvaKKdu2+xQnp6GiEjpwYkS9r0/v+kwnw==" workbookSaltValue="duRx6XDa0aof+yDwfcGysQ==" workbookSpinCount="100000" lockStructure="1"/>
  <bookViews>
    <workbookView xWindow="-23" yWindow="0" windowWidth="21601" windowHeight="12038" xr2:uid="{B14EF1F3-5EA7-40B6-9661-D74D891907BB}"/>
  </bookViews>
  <sheets>
    <sheet name="注意事項" sheetId="5" r:id="rId1"/>
    <sheet name="main" sheetId="1" r:id="rId2"/>
    <sheet name="エラー・結果" sheetId="4" r:id="rId3"/>
    <sheet name="建玉詳細" sheetId="3" r:id="rId4"/>
    <sheet name="発注" sheetId="2"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 l="1"/>
  <c r="A5" i="1" a="1"/>
  <c r="H4" i="3" a="1"/>
  <c r="A4" i="3" a="1"/>
  <c r="T5" i="1" a="1"/>
  <c r="G4" i="4" a="1"/>
  <c r="A5" i="1" l="1"/>
  <c r="H4" i="3"/>
  <c r="A4" i="3"/>
  <c r="T5" i="1"/>
  <c r="G4" i="4"/>
  <c r="G14" i="1"/>
  <c r="N14" i="1"/>
  <c r="G15" i="1"/>
  <c r="N15" i="1"/>
  <c r="G16" i="1"/>
  <c r="N16" i="1"/>
  <c r="G17" i="1"/>
  <c r="N17" i="1"/>
  <c r="G18" i="1"/>
  <c r="N18" i="1"/>
  <c r="G19" i="1"/>
  <c r="N19" i="1"/>
  <c r="G20" i="1"/>
  <c r="N20" i="1"/>
  <c r="G21" i="1"/>
  <c r="N21" i="1"/>
  <c r="G22" i="1"/>
  <c r="N22" i="1"/>
  <c r="O22" i="2"/>
  <c r="O24" i="2"/>
  <c r="O44" i="2"/>
  <c r="L4"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7" i="1"/>
  <c r="N8" i="1"/>
  <c r="N9" i="1"/>
  <c r="N10" i="1"/>
  <c r="N11" i="1"/>
  <c r="N12" i="1"/>
  <c r="N13" i="1"/>
  <c r="G9" i="1"/>
  <c r="G10" i="1"/>
  <c r="G11" i="1"/>
  <c r="G12" i="1"/>
  <c r="G13"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 i="1"/>
  <c r="V6" i="3" a="1"/>
  <c r="V6" i="3" s="1"/>
  <c r="O6" i="3" a="1"/>
  <c r="O6" i="3" s="1"/>
  <c r="G7" i="1"/>
  <c r="E4" i="1"/>
  <c r="O28" i="2"/>
  <c r="G82" i="1"/>
  <c r="E3" i="1" a="1"/>
  <c r="B4" i="1" l="1"/>
  <c r="I21" i="1"/>
  <c r="L21" i="1" s="1"/>
  <c r="I22" i="1"/>
  <c r="L22" i="1" s="1"/>
  <c r="I14" i="1"/>
  <c r="Q14" i="1" s="1"/>
  <c r="R14" i="1" s="1"/>
  <c r="I16" i="1"/>
  <c r="Q16" i="1" s="1"/>
  <c r="R16" i="1" s="1"/>
  <c r="I17" i="1"/>
  <c r="K17" i="1" s="1"/>
  <c r="I20" i="1"/>
  <c r="L20" i="1" s="1"/>
  <c r="I18" i="1"/>
  <c r="L18" i="1" s="1"/>
  <c r="I15" i="1"/>
  <c r="Q15" i="1" s="1"/>
  <c r="R15" i="1" s="1"/>
  <c r="I19" i="1"/>
  <c r="J19" i="1" s="1"/>
  <c r="I66" i="1"/>
  <c r="L66" i="1" s="1"/>
  <c r="I50" i="1"/>
  <c r="K50" i="1" s="1"/>
  <c r="I46" i="1"/>
  <c r="K46" i="1" s="1"/>
  <c r="I42" i="1"/>
  <c r="K42" i="1" s="1"/>
  <c r="I75" i="1"/>
  <c r="K75" i="1" s="1"/>
  <c r="I71" i="1"/>
  <c r="K71" i="1" s="1"/>
  <c r="I67" i="1"/>
  <c r="Q67" i="1" s="1"/>
  <c r="R67" i="1" s="1"/>
  <c r="I34" i="1"/>
  <c r="K34" i="1" s="1"/>
  <c r="I30" i="1"/>
  <c r="K30" i="1" s="1"/>
  <c r="I48" i="1"/>
  <c r="L48" i="1" s="1"/>
  <c r="I44" i="1"/>
  <c r="J44" i="1" s="1"/>
  <c r="I40" i="1"/>
  <c r="L40" i="1" s="1"/>
  <c r="I36" i="1"/>
  <c r="J36" i="1" s="1"/>
  <c r="I74" i="1"/>
  <c r="L74" i="1" s="1"/>
  <c r="I69" i="1"/>
  <c r="K69" i="1" s="1"/>
  <c r="I38" i="1"/>
  <c r="K38" i="1" s="1"/>
  <c r="I8" i="1"/>
  <c r="L8" i="1" s="1"/>
  <c r="I12" i="1"/>
  <c r="K12" i="1" s="1"/>
  <c r="I78" i="1"/>
  <c r="L78" i="1" s="1"/>
  <c r="I76" i="1"/>
  <c r="Q76" i="1" s="1"/>
  <c r="R76" i="1" s="1"/>
  <c r="I73" i="1"/>
  <c r="L73" i="1" s="1"/>
  <c r="I70" i="1"/>
  <c r="K70" i="1" s="1"/>
  <c r="I65" i="1"/>
  <c r="L65" i="1" s="1"/>
  <c r="I63" i="1"/>
  <c r="L63" i="1" s="1"/>
  <c r="I61" i="1"/>
  <c r="L61" i="1" s="1"/>
  <c r="I57" i="1"/>
  <c r="J57" i="1" s="1"/>
  <c r="I29" i="1"/>
  <c r="K29" i="1" s="1"/>
  <c r="I81" i="1"/>
  <c r="L81" i="1" s="1"/>
  <c r="I79" i="1"/>
  <c r="K79" i="1" s="1"/>
  <c r="I55" i="1"/>
  <c r="L55" i="1" s="1"/>
  <c r="I53" i="1"/>
  <c r="L53" i="1" s="1"/>
  <c r="I41" i="1"/>
  <c r="K41" i="1" s="1"/>
  <c r="I31" i="1"/>
  <c r="K31" i="1" s="1"/>
  <c r="I77" i="1"/>
  <c r="L77" i="1" s="1"/>
  <c r="I27" i="1"/>
  <c r="K27" i="1" s="1"/>
  <c r="I25" i="1"/>
  <c r="K25" i="1" s="1"/>
  <c r="I23" i="1"/>
  <c r="K23" i="1" s="1"/>
  <c r="I10" i="1"/>
  <c r="K10" i="1" s="1"/>
  <c r="I80" i="1"/>
  <c r="K80" i="1" s="1"/>
  <c r="I72" i="1"/>
  <c r="L72" i="1" s="1"/>
  <c r="I68" i="1"/>
  <c r="L68" i="1" s="1"/>
  <c r="I59" i="1"/>
  <c r="L59" i="1" s="1"/>
  <c r="I28" i="1"/>
  <c r="K28" i="1" s="1"/>
  <c r="I26" i="1"/>
  <c r="K26" i="1" s="1"/>
  <c r="I24" i="1"/>
  <c r="K24" i="1" s="1"/>
  <c r="I11" i="1"/>
  <c r="K11" i="1" s="1"/>
  <c r="I13" i="1"/>
  <c r="K13" i="1" s="1"/>
  <c r="I9" i="1"/>
  <c r="K9" i="1" s="1"/>
  <c r="I62" i="1"/>
  <c r="I58" i="1"/>
  <c r="I54" i="1"/>
  <c r="I51" i="1"/>
  <c r="I47" i="1"/>
  <c r="I43" i="1"/>
  <c r="I39" i="1"/>
  <c r="I35" i="1"/>
  <c r="L36" i="1"/>
  <c r="I64" i="1"/>
  <c r="I60" i="1"/>
  <c r="I56" i="1"/>
  <c r="I52" i="1"/>
  <c r="I49" i="1"/>
  <c r="I45" i="1"/>
  <c r="I37" i="1"/>
  <c r="I33" i="1"/>
  <c r="I32" i="1"/>
  <c r="E3" i="1"/>
  <c r="K21" i="1" l="1"/>
  <c r="Q30" i="1"/>
  <c r="R30" i="1" s="1"/>
  <c r="J42" i="1"/>
  <c r="K22" i="1"/>
  <c r="Q38" i="1"/>
  <c r="R38" i="1" s="1"/>
  <c r="Q40" i="1"/>
  <c r="R40" i="1" s="1"/>
  <c r="Q22" i="1"/>
  <c r="R22" i="1" s="1"/>
  <c r="Q34" i="1"/>
  <c r="R34" i="1" s="1"/>
  <c r="J38" i="1"/>
  <c r="J40" i="1"/>
  <c r="L42" i="1"/>
  <c r="J21" i="1"/>
  <c r="K40" i="1"/>
  <c r="J34" i="1"/>
  <c r="J22" i="1"/>
  <c r="K36" i="1"/>
  <c r="Q36" i="1"/>
  <c r="R36" i="1" s="1"/>
  <c r="L75" i="1"/>
  <c r="J20" i="1"/>
  <c r="Q21" i="1"/>
  <c r="R21" i="1" s="1"/>
  <c r="J30" i="1"/>
  <c r="Q75" i="1"/>
  <c r="R75" i="1" s="1"/>
  <c r="J66" i="1"/>
  <c r="Q20" i="1"/>
  <c r="R20" i="1" s="1"/>
  <c r="L30" i="1"/>
  <c r="L19" i="1"/>
  <c r="L70" i="1"/>
  <c r="K20" i="1"/>
  <c r="K59" i="1"/>
  <c r="Q46" i="1"/>
  <c r="R46" i="1" s="1"/>
  <c r="J46" i="1"/>
  <c r="L46" i="1"/>
  <c r="J67" i="1"/>
  <c r="J18" i="1"/>
  <c r="Q18" i="1"/>
  <c r="R18" i="1" s="1"/>
  <c r="J17" i="1"/>
  <c r="L15" i="1"/>
  <c r="Q17" i="1"/>
  <c r="R17" i="1" s="1"/>
  <c r="J16" i="1"/>
  <c r="L17" i="1"/>
  <c r="L16" i="1"/>
  <c r="L14" i="1"/>
  <c r="K14" i="1"/>
  <c r="J14" i="1"/>
  <c r="K16" i="1"/>
  <c r="Q19" i="1"/>
  <c r="R19" i="1" s="1"/>
  <c r="J15" i="1"/>
  <c r="K19" i="1"/>
  <c r="K15" i="1"/>
  <c r="K18" i="1"/>
  <c r="L71" i="1"/>
  <c r="L50" i="1"/>
  <c r="Q50" i="1"/>
  <c r="R50" i="1" s="1"/>
  <c r="J71" i="1"/>
  <c r="J75" i="1"/>
  <c r="Q66" i="1"/>
  <c r="R66" i="1" s="1"/>
  <c r="Q71" i="1"/>
  <c r="R71" i="1" s="1"/>
  <c r="J50" i="1"/>
  <c r="J69" i="1"/>
  <c r="K66" i="1"/>
  <c r="L44" i="1"/>
  <c r="L67" i="1"/>
  <c r="K44" i="1"/>
  <c r="Q44" i="1"/>
  <c r="R44" i="1" s="1"/>
  <c r="K67" i="1"/>
  <c r="Q42" i="1"/>
  <c r="R42" i="1" s="1"/>
  <c r="Q69" i="1"/>
  <c r="R69" i="1" s="1"/>
  <c r="L34" i="1"/>
  <c r="K61" i="1"/>
  <c r="L38" i="1"/>
  <c r="J12" i="1"/>
  <c r="Q23" i="1"/>
  <c r="R23" i="1" s="1"/>
  <c r="K63" i="1"/>
  <c r="Q26" i="1"/>
  <c r="R26" i="1" s="1"/>
  <c r="K76" i="1"/>
  <c r="L76" i="1"/>
  <c r="L69" i="1"/>
  <c r="J63" i="1"/>
  <c r="J76" i="1"/>
  <c r="J53" i="1"/>
  <c r="L12" i="1"/>
  <c r="Q28" i="1"/>
  <c r="R28" i="1" s="1"/>
  <c r="Q48" i="1"/>
  <c r="R48" i="1" s="1"/>
  <c r="J74" i="1"/>
  <c r="J65" i="1"/>
  <c r="Q73" i="1"/>
  <c r="R73" i="1" s="1"/>
  <c r="Q13" i="1"/>
  <c r="R13" i="1" s="1"/>
  <c r="J29" i="1"/>
  <c r="K48" i="1"/>
  <c r="J48" i="1"/>
  <c r="Q78" i="1"/>
  <c r="R78" i="1" s="1"/>
  <c r="K72" i="1"/>
  <c r="Q12" i="1"/>
  <c r="R12" i="1" s="1"/>
  <c r="Q41" i="1"/>
  <c r="R41" i="1" s="1"/>
  <c r="Q74" i="1"/>
  <c r="R74" i="1" s="1"/>
  <c r="K74" i="1"/>
  <c r="J8" i="1"/>
  <c r="Q8" i="1"/>
  <c r="R8" i="1" s="1"/>
  <c r="K8" i="1"/>
  <c r="Q79" i="1"/>
  <c r="R79" i="1" s="1"/>
  <c r="Q57" i="1"/>
  <c r="R57" i="1" s="1"/>
  <c r="K68" i="1"/>
  <c r="Q68" i="1"/>
  <c r="R68" i="1" s="1"/>
  <c r="Q70" i="1"/>
  <c r="R70" i="1" s="1"/>
  <c r="J23" i="1"/>
  <c r="J77" i="1"/>
  <c r="J55" i="1"/>
  <c r="K55" i="1"/>
  <c r="K77" i="1"/>
  <c r="L23" i="1"/>
  <c r="J28" i="1"/>
  <c r="Q55" i="1"/>
  <c r="R55" i="1" s="1"/>
  <c r="J68" i="1"/>
  <c r="Q77" i="1"/>
  <c r="R77" i="1" s="1"/>
  <c r="K57" i="1"/>
  <c r="J25" i="1"/>
  <c r="L28" i="1"/>
  <c r="Q81" i="1"/>
  <c r="R81" i="1" s="1"/>
  <c r="L29" i="1"/>
  <c r="J79" i="1"/>
  <c r="K78" i="1"/>
  <c r="Q65" i="1"/>
  <c r="R65" i="1" s="1"/>
  <c r="L25" i="1"/>
  <c r="Q31" i="1"/>
  <c r="R31" i="1" s="1"/>
  <c r="J78" i="1"/>
  <c r="K65" i="1"/>
  <c r="J24" i="1"/>
  <c r="J31" i="1"/>
  <c r="L79" i="1"/>
  <c r="Q10" i="1"/>
  <c r="R10" i="1" s="1"/>
  <c r="Q25" i="1"/>
  <c r="R25" i="1" s="1"/>
  <c r="Q27" i="1"/>
  <c r="R27" i="1" s="1"/>
  <c r="Q29" i="1"/>
  <c r="R29" i="1" s="1"/>
  <c r="L31" i="1"/>
  <c r="L57" i="1"/>
  <c r="J70" i="1"/>
  <c r="J10" i="1"/>
  <c r="L13" i="1"/>
  <c r="L24" i="1"/>
  <c r="J41" i="1"/>
  <c r="Q61" i="1"/>
  <c r="R61" i="1" s="1"/>
  <c r="Q9" i="1"/>
  <c r="R9" i="1" s="1"/>
  <c r="L9" i="1"/>
  <c r="Q24" i="1"/>
  <c r="R24" i="1" s="1"/>
  <c r="L26" i="1"/>
  <c r="Q59" i="1"/>
  <c r="R59" i="1" s="1"/>
  <c r="K53" i="1"/>
  <c r="J27" i="1"/>
  <c r="L41" i="1"/>
  <c r="K73" i="1"/>
  <c r="L10" i="1"/>
  <c r="J26" i="1"/>
  <c r="L27" i="1"/>
  <c r="J59" i="1"/>
  <c r="Q63" i="1"/>
  <c r="R63" i="1" s="1"/>
  <c r="J73" i="1"/>
  <c r="J61" i="1"/>
  <c r="K81" i="1"/>
  <c r="J81" i="1"/>
  <c r="Q53" i="1"/>
  <c r="R53" i="1" s="1"/>
  <c r="J72" i="1"/>
  <c r="Q72" i="1"/>
  <c r="R72" i="1" s="1"/>
  <c r="L80" i="1"/>
  <c r="Q80" i="1"/>
  <c r="R80" i="1" s="1"/>
  <c r="J80" i="1"/>
  <c r="J13" i="1"/>
  <c r="J11" i="1"/>
  <c r="Q11" i="1"/>
  <c r="R11" i="1" s="1"/>
  <c r="L11" i="1"/>
  <c r="J9" i="1"/>
  <c r="J37" i="1"/>
  <c r="Q37" i="1"/>
  <c r="R37" i="1" s="1"/>
  <c r="K37" i="1"/>
  <c r="L37" i="1"/>
  <c r="J52" i="1"/>
  <c r="Q52" i="1"/>
  <c r="R52" i="1" s="1"/>
  <c r="K52" i="1"/>
  <c r="L52" i="1"/>
  <c r="J43" i="1"/>
  <c r="Q43" i="1"/>
  <c r="R43" i="1" s="1"/>
  <c r="L43" i="1"/>
  <c r="K43" i="1"/>
  <c r="J49" i="1"/>
  <c r="Q49" i="1"/>
  <c r="R49" i="1" s="1"/>
  <c r="K49" i="1"/>
  <c r="L49" i="1"/>
  <c r="L32" i="1"/>
  <c r="J32" i="1"/>
  <c r="Q32" i="1"/>
  <c r="R32" i="1" s="1"/>
  <c r="K32" i="1"/>
  <c r="J45" i="1"/>
  <c r="Q45" i="1"/>
  <c r="R45" i="1" s="1"/>
  <c r="K45" i="1"/>
  <c r="L45" i="1"/>
  <c r="J56" i="1"/>
  <c r="Q56" i="1"/>
  <c r="R56" i="1" s="1"/>
  <c r="K56" i="1"/>
  <c r="L56" i="1"/>
  <c r="J35" i="1"/>
  <c r="Q35" i="1"/>
  <c r="R35" i="1" s="1"/>
  <c r="L35" i="1"/>
  <c r="K35" i="1"/>
  <c r="J47" i="1"/>
  <c r="Q47" i="1"/>
  <c r="R47" i="1" s="1"/>
  <c r="L47" i="1"/>
  <c r="K47" i="1"/>
  <c r="J33" i="1"/>
  <c r="Q33" i="1"/>
  <c r="R33" i="1" s="1"/>
  <c r="K33" i="1"/>
  <c r="L33" i="1"/>
  <c r="J60" i="1"/>
  <c r="Q60" i="1"/>
  <c r="R60" i="1" s="1"/>
  <c r="K60" i="1"/>
  <c r="L60" i="1"/>
  <c r="J39" i="1"/>
  <c r="Q39" i="1"/>
  <c r="R39" i="1" s="1"/>
  <c r="L39" i="1"/>
  <c r="K39" i="1"/>
  <c r="J51" i="1"/>
  <c r="L51" i="1"/>
  <c r="Q51" i="1"/>
  <c r="R51" i="1" s="1"/>
  <c r="K51" i="1"/>
  <c r="K62" i="1"/>
  <c r="L62" i="1"/>
  <c r="J62" i="1"/>
  <c r="Q62" i="1"/>
  <c r="R62" i="1" s="1"/>
  <c r="J64" i="1"/>
  <c r="Q64" i="1"/>
  <c r="R64" i="1" s="1"/>
  <c r="K64" i="1"/>
  <c r="L64" i="1"/>
  <c r="K54" i="1"/>
  <c r="L54" i="1"/>
  <c r="J54" i="1"/>
  <c r="Q54" i="1"/>
  <c r="R54" i="1" s="1"/>
  <c r="K58" i="1"/>
  <c r="L58" i="1"/>
  <c r="J58" i="1"/>
  <c r="Q58" i="1"/>
  <c r="R58" i="1" s="1"/>
  <c r="G83" i="1"/>
  <c r="G84" i="1"/>
  <c r="I83" i="1" s="1"/>
  <c r="G85" i="1"/>
  <c r="C8" i="2" s="1"/>
  <c r="G86" i="1"/>
  <c r="G87" i="1"/>
  <c r="G88" i="1"/>
  <c r="G89" i="1"/>
  <c r="G90" i="1"/>
  <c r="G91" i="1"/>
  <c r="G92" i="1"/>
  <c r="G93" i="1"/>
  <c r="G94" i="1"/>
  <c r="G95" i="1"/>
  <c r="G96" i="1"/>
  <c r="G97" i="1"/>
  <c r="G98" i="1"/>
  <c r="G99" i="1"/>
  <c r="G100" i="1"/>
  <c r="G101" i="1"/>
  <c r="G102" i="1"/>
  <c r="G103" i="1"/>
  <c r="G104" i="1"/>
  <c r="G105" i="1"/>
  <c r="G106" i="1"/>
  <c r="C13" i="2"/>
  <c r="C28" i="2"/>
  <c r="O13" i="2"/>
  <c r="O4" i="1" l="1"/>
  <c r="O3" i="1"/>
  <c r="I82" i="1"/>
  <c r="L82" i="1" s="1"/>
  <c r="I7" i="1"/>
  <c r="H4" i="1" l="1"/>
  <c r="H3" i="1"/>
  <c r="Q82" i="1"/>
  <c r="R82" i="1" s="1"/>
  <c r="K82" i="1"/>
  <c r="J82" i="1"/>
  <c r="J7" i="1"/>
  <c r="Q7" i="1" s="1"/>
  <c r="R7" i="1" s="1"/>
  <c r="K7" i="1"/>
  <c r="C17" i="2"/>
  <c r="L7" i="1"/>
  <c r="O17" i="2" l="1"/>
  <c r="C10" i="2"/>
  <c r="E5" i="4"/>
  <c r="E4" i="4"/>
  <c r="B4" i="4"/>
  <c r="B5" i="4"/>
  <c r="B4" i="2" a="1"/>
  <c r="B4" i="2" l="1"/>
  <c r="O46" i="2"/>
  <c r="O48" i="2"/>
  <c r="O49" i="2"/>
  <c r="E7" i="4"/>
  <c r="B7" i="4"/>
  <c r="O8" i="2" l="1"/>
  <c r="O10" i="2" l="1"/>
  <c r="M4" i="2" a="1"/>
  <c r="M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haru</author>
  </authors>
  <commentList>
    <comment ref="I6" authorId="0" shapeId="0" xr:uid="{BCD79FCC-5328-41D3-ACF7-562F75533B1A}">
      <text>
        <r>
          <rPr>
            <b/>
            <sz val="9"/>
            <color indexed="81"/>
            <rFont val="MS P ゴシック"/>
            <family val="3"/>
            <charset val="128"/>
          </rPr>
          <t>haru:</t>
        </r>
        <r>
          <rPr>
            <sz val="9"/>
            <color indexed="81"/>
            <rFont val="MS P ゴシック"/>
            <family val="3"/>
            <charset val="128"/>
          </rPr>
          <t xml:space="preserve">
高値＞vwap&gt;安値 =&gt; vwapに5分足が触れた
かつ
終値&gt;vwap =&gt; 買い
vwap&gt;終値　=&gt; 売り
終値は常に更新され続けるため
次のID&lt;&gt; ""を入れることで確定足の時のみ発動する。
また、vwapに値が入っていることがエントリートリガーの最低条件となるため、vwap &lt;&gt; "を用いて、vwapに数値が入っていることも確認する。
</t>
        </r>
      </text>
    </comment>
    <comment ref="N6" authorId="0" shapeId="0" xr:uid="{1EBC443A-DC27-4FB2-886A-39AF0FBD86D8}">
      <text>
        <r>
          <rPr>
            <b/>
            <sz val="9"/>
            <color indexed="81"/>
            <rFont val="MS P ゴシック"/>
            <family val="3"/>
            <charset val="128"/>
          </rPr>
          <t xml:space="preserve">haru:エントリーセルに買または売がはいっている
逆指値ラインに数値がはいっている
場合
5分足の安値が逆指値ラインを割ったらロスカット。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<sst xmlns="http://schemas.openxmlformats.org/spreadsheetml/2006/main" count="526" uniqueCount="195">
  <si>
    <t>日付</t>
  </si>
  <si>
    <t>時刻</t>
  </si>
  <si>
    <t>始値</t>
  </si>
  <si>
    <t>高値</t>
  </si>
  <si>
    <t>安値</t>
  </si>
  <si>
    <t>終値</t>
  </si>
  <si>
    <t>銘柄コード</t>
  </si>
  <si>
    <t>銘柄コード</t>
    <rPh sb="0" eb="2">
      <t>メイガラ</t>
    </rPh>
    <phoneticPr fontId="1"/>
  </si>
  <si>
    <t>データ表示数</t>
    <rPh sb="3" eb="6">
      <t>ヒョウジスウ</t>
    </rPh>
    <phoneticPr fontId="1"/>
  </si>
  <si>
    <t>現在vwap</t>
    <rPh sb="0" eb="2">
      <t>ゲンザイ</t>
    </rPh>
    <phoneticPr fontId="1"/>
  </si>
  <si>
    <t>エントリー</t>
    <phoneticPr fontId="1"/>
  </si>
  <si>
    <t>口座区分</t>
  </si>
  <si>
    <t>信用区分</t>
  </si>
  <si>
    <t>執行条件</t>
  </si>
  <si>
    <t>注文期限</t>
  </si>
  <si>
    <t>注文数量</t>
  </si>
  <si>
    <t>注文区分</t>
  </si>
  <si>
    <t>発注ID</t>
  </si>
  <si>
    <t>○</t>
  </si>
  <si>
    <t>数値</t>
  </si>
  <si>
    <t>Excelから注文を一意に識別するための番号</t>
  </si>
  <si>
    <t>発注トリガー</t>
  </si>
  <si>
    <t>1（True）：発注</t>
  </si>
  <si>
    <t>0（False）：待機</t>
  </si>
  <si>
    <t>省略時は、「0（False）：待機」</t>
  </si>
  <si>
    <t>文字列</t>
  </si>
  <si>
    <t>「銘柄コード.市場」の形式で入力。「.市場」は省略可。</t>
  </si>
  <si>
    <t>.T：東証（省略時東証）</t>
  </si>
  <si>
    <t>.JNX：JNX</t>
  </si>
  <si>
    <t>.CHJ：Chi-x</t>
  </si>
  <si>
    <t>売買区分</t>
  </si>
  <si>
    <t>0：通常注文</t>
  </si>
  <si>
    <t>1：逆指値付通常注文</t>
  </si>
  <si>
    <t>2：逆指値注文</t>
  </si>
  <si>
    <t>SOR区分</t>
  </si>
  <si>
    <t>1：SOR注文</t>
  </si>
  <si>
    <t>注文数量を入力</t>
  </si>
  <si>
    <t>価格区分</t>
  </si>
  <si>
    <t>ｘ</t>
  </si>
  <si>
    <t>「0：通常注文」、「1：逆指値付通常注文」の時必須。</t>
  </si>
  <si>
    <t>0：成行</t>
  </si>
  <si>
    <t>1：指値</t>
  </si>
  <si>
    <t>注文価格</t>
  </si>
  <si>
    <t>▲</t>
  </si>
  <si>
    <t>価格区分が「1：指値」の時必須。成行の場合は省略</t>
  </si>
  <si>
    <t>1：本日中</t>
  </si>
  <si>
    <t>2：今週中</t>
  </si>
  <si>
    <t>3：寄付</t>
  </si>
  <si>
    <t>4：引け</t>
  </si>
  <si>
    <t>5：期間指定</t>
  </si>
  <si>
    <t>6：大引不成</t>
  </si>
  <si>
    <t>7：不成</t>
  </si>
  <si>
    <t>※ SOR区分が「1：SOR注文」時、3：寄付　4：引けの選択は不可</t>
  </si>
  <si>
    <t>(YYYYMMDD)</t>
  </si>
  <si>
    <t>執行条件が「5：期間指定」の場合のみ必須。</t>
  </si>
  <si>
    <t>それ以外は省略</t>
  </si>
  <si>
    <t>0：特定</t>
  </si>
  <si>
    <t>1：一般</t>
  </si>
  <si>
    <t>No</t>
  </si>
  <si>
    <t>引数名</t>
  </si>
  <si>
    <t>データ型</t>
  </si>
  <si>
    <t>備考</t>
  </si>
  <si>
    <t>通常</t>
  </si>
  <si>
    <t>注文</t>
  </si>
  <si>
    <t>逆指値付</t>
  </si>
  <si>
    <t>通常注文</t>
  </si>
  <si>
    <t>逆指値</t>
  </si>
  <si>
    <t>1：売 (売建)</t>
  </si>
  <si>
    <t>3：買 (買建)</t>
  </si>
  <si>
    <t>1：制度信用（6ヶ月）</t>
  </si>
  <si>
    <t>2：一般信用（無制限）</t>
  </si>
  <si>
    <t>3：一般信用（14日）</t>
  </si>
  <si>
    <t>4：一般信用（いちにち）</t>
  </si>
  <si>
    <t>逆指値条件価格</t>
  </si>
  <si>
    <t>「1：逆指値付通常注文」、「２：逆指値注文」の時必須。</t>
  </si>
  <si>
    <t>逆指値条件区分</t>
  </si>
  <si>
    <t>1：以上</t>
  </si>
  <si>
    <t>2：以下</t>
  </si>
  <si>
    <t>逆指値価格区分</t>
  </si>
  <si>
    <t>逆指値価格</t>
  </si>
  <si>
    <t>逆指値価格区分が成行の場合は省略</t>
  </si>
  <si>
    <t>セット注文区分</t>
  </si>
  <si>
    <t>0：通常（予約しない)</t>
  </si>
  <si>
    <t>1：セット注文(予約する)</t>
  </si>
  <si>
    <t>未入力の場合は、通常(予約しない)と同意</t>
  </si>
  <si>
    <t>セット注文価格区分</t>
  </si>
  <si>
    <t>セット注文区分が「1：セット注文（予約する）」の時必須、</t>
  </si>
  <si>
    <t>1:指値</t>
  </si>
  <si>
    <t>2:値幅指定</t>
  </si>
  <si>
    <t>セット注文価格</t>
  </si>
  <si>
    <t>セット注文区分が「1：セット注文（予約する）」の時必須、それ以外は省略。</t>
  </si>
  <si>
    <t>セット注文執行条件</t>
  </si>
  <si>
    <t>セット注文区分が「1：セット注文（予約する）」の時必須、それ以外は省略</t>
  </si>
  <si>
    <t>セット注文期限</t>
  </si>
  <si>
    <t>セット注文執行条件が「5：期間指定」の場合のみ必須。</t>
  </si>
  <si>
    <t>〇：必須</t>
  </si>
  <si>
    <t>ｘ：省略</t>
  </si>
  <si>
    <t>▲：条件次第で省略</t>
  </si>
  <si>
    <r>
      <rPr>
        <sz val="14"/>
        <color rgb="FF333333"/>
        <rFont val="ＭＳ ゴシック"/>
        <family val="3"/>
        <charset val="128"/>
      </rPr>
      <t>（</t>
    </r>
    <r>
      <rPr>
        <sz val="14"/>
        <color rgb="FF333333"/>
        <rFont val="Arial"/>
        <family val="2"/>
      </rPr>
      <t>1</t>
    </r>
    <r>
      <rPr>
        <sz val="14"/>
        <color rgb="FF333333"/>
        <rFont val="ＭＳ ゴシック"/>
        <family val="3"/>
        <charset val="128"/>
      </rPr>
      <t>以上</t>
    </r>
    <r>
      <rPr>
        <sz val="14"/>
        <color rgb="FF333333"/>
        <rFont val="Arial"/>
        <family val="2"/>
      </rPr>
      <t>2147483647</t>
    </r>
    <r>
      <rPr>
        <sz val="14"/>
        <color rgb="FF333333"/>
        <rFont val="ＭＳ ゴシック"/>
        <family val="3"/>
        <charset val="128"/>
      </rPr>
      <t>以下の数値で入力）</t>
    </r>
    <phoneticPr fontId="1"/>
  </si>
  <si>
    <t>ID(月日時)</t>
    <rPh sb="3" eb="4">
      <t>ツキ</t>
    </rPh>
    <rPh sb="4" eb="5">
      <t>ヒ</t>
    </rPh>
    <phoneticPr fontId="1"/>
  </si>
  <si>
    <t>最終行</t>
    <rPh sb="0" eb="3">
      <t>サイシュウギョウ</t>
    </rPh>
    <phoneticPr fontId="1"/>
  </si>
  <si>
    <t>新規注文</t>
    <rPh sb="0" eb="4">
      <t>シンキチュウモン</t>
    </rPh>
    <phoneticPr fontId="1"/>
  </si>
  <si>
    <t>返済注文</t>
    <rPh sb="0" eb="2">
      <t>ヘンサイ</t>
    </rPh>
    <rPh sb="2" eb="4">
      <t>チュウモン</t>
    </rPh>
    <phoneticPr fontId="1"/>
  </si>
  <si>
    <t>（1以上2147483647以下の数値で入力）</t>
  </si>
  <si>
    <t>1：売 (売埋)</t>
  </si>
  <si>
    <t>3：買 (買埋)</t>
  </si>
  <si>
    <t>建日</t>
  </si>
  <si>
    <t>返済建玉の建日を入力</t>
  </si>
  <si>
    <t>建単価</t>
  </si>
  <si>
    <t>返済建玉の建単価を入力</t>
  </si>
  <si>
    <t>建市場</t>
  </si>
  <si>
    <t>1：東証</t>
  </si>
  <si>
    <t>4：JNX</t>
  </si>
  <si>
    <t>6：Chi-X</t>
  </si>
  <si>
    <t>「1：逆指値付通常注文」、「2：逆指値注文」の時必須。</t>
  </si>
  <si>
    <t>取得単価</t>
    <rPh sb="0" eb="4">
      <t>シュトクタンカ</t>
    </rPh>
    <phoneticPr fontId="1"/>
  </si>
  <si>
    <t>vwap</t>
    <phoneticPr fontId="1"/>
  </si>
  <si>
    <t>購入株数</t>
    <rPh sb="0" eb="2">
      <t>コウニュウ</t>
    </rPh>
    <rPh sb="2" eb="4">
      <t>カブスウ</t>
    </rPh>
    <phoneticPr fontId="1"/>
  </si>
  <si>
    <t>売建数</t>
    <rPh sb="0" eb="1">
      <t>ウ</t>
    </rPh>
    <rPh sb="1" eb="2">
      <t>タ</t>
    </rPh>
    <rPh sb="2" eb="3">
      <t>カズ</t>
    </rPh>
    <phoneticPr fontId="1"/>
  </si>
  <si>
    <t>買建数</t>
    <rPh sb="0" eb="1">
      <t>カ</t>
    </rPh>
    <rPh sb="1" eb="2">
      <t>ダ</t>
    </rPh>
    <rPh sb="2" eb="3">
      <t>カズ</t>
    </rPh>
    <phoneticPr fontId="1"/>
  </si>
  <si>
    <t>逆指値価格</t>
    <rPh sb="0" eb="3">
      <t>ギャクサシネ</t>
    </rPh>
    <rPh sb="3" eb="5">
      <t>カカク</t>
    </rPh>
    <phoneticPr fontId="1"/>
  </si>
  <si>
    <t>成行返済</t>
    <rPh sb="0" eb="1">
      <t>ナ</t>
    </rPh>
    <rPh sb="1" eb="2">
      <t>ユ</t>
    </rPh>
    <rPh sb="2" eb="4">
      <t>ヘンサイ</t>
    </rPh>
    <phoneticPr fontId="1"/>
  </si>
  <si>
    <t>逆指値返済</t>
    <rPh sb="0" eb="3">
      <t>ギャクサシネ</t>
    </rPh>
    <rPh sb="3" eb="5">
      <t>ヘンサイ</t>
    </rPh>
    <phoneticPr fontId="1"/>
  </si>
  <si>
    <t>売買</t>
  </si>
  <si>
    <t>建玉数量</t>
  </si>
  <si>
    <t>建値</t>
  </si>
  <si>
    <t>買建玉一覧</t>
    <rPh sb="0" eb="1">
      <t>カ</t>
    </rPh>
    <rPh sb="1" eb="5">
      <t>タテギョクイチラン</t>
    </rPh>
    <phoneticPr fontId="1"/>
  </si>
  <si>
    <t>売建玉一覧</t>
    <rPh sb="0" eb="1">
      <t>ウ</t>
    </rPh>
    <rPh sb="1" eb="5">
      <t>タテギョクイチラン</t>
    </rPh>
    <phoneticPr fontId="1"/>
  </si>
  <si>
    <r>
      <t>1</t>
    </r>
    <r>
      <rPr>
        <sz val="14"/>
        <color rgb="FF333333"/>
        <rFont val="ＭＳ ゴシック"/>
        <family val="3"/>
        <charset val="128"/>
      </rPr>
      <t>：</t>
    </r>
    <r>
      <rPr>
        <sz val="14"/>
        <color rgb="FF333333"/>
        <rFont val="Arial"/>
        <family val="2"/>
      </rPr>
      <t>SOR</t>
    </r>
    <r>
      <rPr>
        <sz val="14"/>
        <color rgb="FF333333"/>
        <rFont val="ＭＳ ゴシック"/>
        <family val="3"/>
        <charset val="128"/>
      </rPr>
      <t>注文</t>
    </r>
    <phoneticPr fontId="1"/>
  </si>
  <si>
    <r>
      <t>1</t>
    </r>
    <r>
      <rPr>
        <sz val="14"/>
        <color rgb="FF333333"/>
        <rFont val="ＭＳ ゴシック"/>
        <family val="3"/>
        <charset val="128"/>
      </rPr>
      <t>：逆指値付通常注文</t>
    </r>
    <phoneticPr fontId="1"/>
  </si>
  <si>
    <r>
      <t>0</t>
    </r>
    <r>
      <rPr>
        <sz val="14"/>
        <color rgb="FF333333"/>
        <rFont val="ＭＳ ゴシック"/>
        <family val="3"/>
        <charset val="128"/>
      </rPr>
      <t>：通常注文</t>
    </r>
    <phoneticPr fontId="1"/>
  </si>
  <si>
    <t xml:space="preserve"> </t>
    <phoneticPr fontId="1"/>
  </si>
  <si>
    <t xml:space="preserve"> </t>
    <phoneticPr fontId="1"/>
  </si>
  <si>
    <t>買建履歴</t>
    <rPh sb="0" eb="1">
      <t>カ</t>
    </rPh>
    <rPh sb="1" eb="2">
      <t>タ</t>
    </rPh>
    <rPh sb="2" eb="4">
      <t>リレキ</t>
    </rPh>
    <phoneticPr fontId="1"/>
  </si>
  <si>
    <t>売建履歴</t>
    <rPh sb="0" eb="1">
      <t>ウ</t>
    </rPh>
    <rPh sb="1" eb="2">
      <t>タ</t>
    </rPh>
    <rPh sb="2" eb="4">
      <t>リレキ</t>
    </rPh>
    <phoneticPr fontId="1"/>
  </si>
  <si>
    <t>売返済履歴</t>
    <rPh sb="0" eb="1">
      <t>ウ</t>
    </rPh>
    <rPh sb="1" eb="3">
      <t>ヘンサイ</t>
    </rPh>
    <rPh sb="3" eb="5">
      <t>リレキ</t>
    </rPh>
    <phoneticPr fontId="1"/>
  </si>
  <si>
    <t>買返済履歴</t>
    <rPh sb="0" eb="1">
      <t>カ</t>
    </rPh>
    <rPh sb="1" eb="3">
      <t>ヘンサイ</t>
    </rPh>
    <rPh sb="3" eb="5">
      <t>リレキ</t>
    </rPh>
    <phoneticPr fontId="1"/>
  </si>
  <si>
    <t>買建保有カウント</t>
    <rPh sb="0" eb="1">
      <t>カ</t>
    </rPh>
    <rPh sb="1" eb="2">
      <t>ダテ</t>
    </rPh>
    <rPh sb="2" eb="4">
      <t>ホユウ</t>
    </rPh>
    <phoneticPr fontId="1"/>
  </si>
  <si>
    <t>売建保有カウント</t>
    <rPh sb="0" eb="1">
      <t>ウ</t>
    </rPh>
    <rPh sb="1" eb="2">
      <t>タツル</t>
    </rPh>
    <rPh sb="2" eb="4">
      <t>ホユウ</t>
    </rPh>
    <phoneticPr fontId="1"/>
  </si>
  <si>
    <t>買い建玉絞込み</t>
    <rPh sb="0" eb="1">
      <t>カ</t>
    </rPh>
    <rPh sb="2" eb="4">
      <t>タテギョク</t>
    </rPh>
    <rPh sb="4" eb="5">
      <t>シボ</t>
    </rPh>
    <rPh sb="5" eb="6">
      <t>コ</t>
    </rPh>
    <phoneticPr fontId="1"/>
  </si>
  <si>
    <t>売り建玉絞込み</t>
    <rPh sb="0" eb="1">
      <t>ウ</t>
    </rPh>
    <phoneticPr fontId="1"/>
  </si>
  <si>
    <t>青のセル以外は変更しないでください。変更した場合は正常に動作しないことがあります。</t>
    <rPh sb="0" eb="1">
      <t>アオ</t>
    </rPh>
    <rPh sb="4" eb="6">
      <t>イガイ</t>
    </rPh>
    <rPh sb="7" eb="9">
      <t>ヘンコウ</t>
    </rPh>
    <rPh sb="18" eb="20">
      <t>ヘンコウ</t>
    </rPh>
    <rPh sb="22" eb="24">
      <t>バアイ</t>
    </rPh>
    <rPh sb="25" eb="27">
      <t>セイジョウ</t>
    </rPh>
    <rPh sb="28" eb="30">
      <t>ドウサ</t>
    </rPh>
    <phoneticPr fontId="1"/>
  </si>
  <si>
    <t>このシートの内容は変更しないでください。関数が消えると正常に動作しません。</t>
    <rPh sb="6" eb="8">
      <t>ナイヨウ</t>
    </rPh>
    <rPh sb="9" eb="11">
      <t>ヘンコウ</t>
    </rPh>
    <rPh sb="20" eb="22">
      <t>カンスウ</t>
    </rPh>
    <rPh sb="23" eb="24">
      <t>キ</t>
    </rPh>
    <rPh sb="27" eb="29">
      <t>セイジョウ</t>
    </rPh>
    <rPh sb="30" eb="32">
      <t>ドウサ</t>
    </rPh>
    <phoneticPr fontId="1"/>
  </si>
  <si>
    <t>橙色のセルには関数が入っています。青のセル以外は変更しないでください。</t>
    <rPh sb="0" eb="1">
      <t>ダイダイ</t>
    </rPh>
    <rPh sb="1" eb="2">
      <t>イロ</t>
    </rPh>
    <rPh sb="7" eb="9">
      <t>カンスウ</t>
    </rPh>
    <rPh sb="10" eb="11">
      <t>ハイ</t>
    </rPh>
    <rPh sb="17" eb="18">
      <t>アオ</t>
    </rPh>
    <rPh sb="21" eb="23">
      <t>イガイ</t>
    </rPh>
    <rPh sb="24" eb="26">
      <t>ヘンコウ</t>
    </rPh>
    <phoneticPr fontId="1"/>
  </si>
  <si>
    <t>このシートに対してプログラムが動いているため自動売買中はこのシートを開いておいてください。</t>
    <rPh sb="6" eb="7">
      <t>タイ</t>
    </rPh>
    <rPh sb="15" eb="16">
      <t>ウゴ</t>
    </rPh>
    <rPh sb="22" eb="26">
      <t>ジドウバイバイ</t>
    </rPh>
    <rPh sb="26" eb="27">
      <t>チュウ</t>
    </rPh>
    <rPh sb="34" eb="35">
      <t>ヒラ</t>
    </rPh>
    <phoneticPr fontId="1"/>
  </si>
  <si>
    <t>決済価格</t>
    <rPh sb="0" eb="4">
      <t>ケッサイカカク</t>
    </rPh>
    <phoneticPr fontId="1"/>
  </si>
  <si>
    <t>判定</t>
    <rPh sb="0" eb="2">
      <t>ハンテイ</t>
    </rPh>
    <phoneticPr fontId="1"/>
  </si>
  <si>
    <t>決済差額</t>
    <rPh sb="0" eb="2">
      <t>ケッサイ</t>
    </rPh>
    <rPh sb="2" eb="4">
      <t>サガク</t>
    </rPh>
    <phoneticPr fontId="1"/>
  </si>
  <si>
    <t>損切回数</t>
    <rPh sb="0" eb="4">
      <t>ソンギリカイスウ</t>
    </rPh>
    <phoneticPr fontId="1"/>
  </si>
  <si>
    <t>利確回数</t>
    <rPh sb="0" eb="4">
      <t>リカクカイスウ</t>
    </rPh>
    <phoneticPr fontId="1"/>
  </si>
  <si>
    <t>合計損失</t>
    <rPh sb="0" eb="4">
      <t>ゴウケイソンシツ</t>
    </rPh>
    <phoneticPr fontId="1"/>
  </si>
  <si>
    <t>合計利益</t>
    <rPh sb="0" eb="4">
      <t>ゴウケイリエキ</t>
    </rPh>
    <phoneticPr fontId="1"/>
  </si>
  <si>
    <t>発注時刻</t>
  </si>
  <si>
    <t>発注結果</t>
  </si>
  <si>
    <t>発注時エラー内容</t>
    <rPh sb="0" eb="3">
      <t>ハッチュウジ</t>
    </rPh>
    <rPh sb="6" eb="8">
      <t>ナイヨウ</t>
    </rPh>
    <phoneticPr fontId="1"/>
  </si>
  <si>
    <t>※ご利用前に必ずお読みください</t>
    <rPh sb="2" eb="5">
      <t>リヨウマエ</t>
    </rPh>
    <rPh sb="6" eb="7">
      <t>カナラ</t>
    </rPh>
    <rPh sb="9" eb="10">
      <t>ヨ</t>
    </rPh>
    <phoneticPr fontId="1"/>
  </si>
  <si>
    <t>このシステムはエクセル関数とVBA処理、楽天RSSの3つを用いており、それぞれが依存関係にあります。
動作を途中で止めたり、セルの値を変更したり消去したりすると、うまく動作しなくなるなる可能性があります。万が一うまく動作しなくなった時のために、必ず使用前のエクセルファイルを複製保存しておいてください。</t>
    <rPh sb="11" eb="13">
      <t>カンスウ</t>
    </rPh>
    <rPh sb="17" eb="19">
      <t>ショリ</t>
    </rPh>
    <rPh sb="20" eb="22">
      <t>ラクテン</t>
    </rPh>
    <rPh sb="29" eb="30">
      <t>モチ</t>
    </rPh>
    <rPh sb="40" eb="44">
      <t>イゾンカンケイ</t>
    </rPh>
    <rPh sb="51" eb="53">
      <t>ドウサ</t>
    </rPh>
    <rPh sb="54" eb="56">
      <t>トチュウ</t>
    </rPh>
    <rPh sb="57" eb="58">
      <t>ト</t>
    </rPh>
    <rPh sb="65" eb="66">
      <t>アタイ</t>
    </rPh>
    <rPh sb="67" eb="69">
      <t>ヘンコウ</t>
    </rPh>
    <rPh sb="72" eb="74">
      <t>ショウキョ</t>
    </rPh>
    <rPh sb="84" eb="86">
      <t>ドウサ</t>
    </rPh>
    <rPh sb="93" eb="96">
      <t>カノウセイ</t>
    </rPh>
    <rPh sb="102" eb="103">
      <t>マン</t>
    </rPh>
    <rPh sb="104" eb="105">
      <t>イチ</t>
    </rPh>
    <rPh sb="108" eb="110">
      <t>ドウサ</t>
    </rPh>
    <rPh sb="116" eb="117">
      <t>トキ</t>
    </rPh>
    <rPh sb="122" eb="123">
      <t>カナラ</t>
    </rPh>
    <rPh sb="124" eb="127">
      <t>シヨウマエ</t>
    </rPh>
    <rPh sb="137" eb="141">
      <t>フクセイホゾン</t>
    </rPh>
    <phoneticPr fontId="1"/>
  </si>
  <si>
    <t>○</t>
    <phoneticPr fontId="1"/>
  </si>
  <si>
    <t>トレード開始の手順
sheet 発注を選択
①SOR区分、信用区分、口座区分を新規と返済両方同じように入力
sheet mainを選択
②銘柄コードを入力
③購入株数を入力
④トレード開始ボタンを押す
自動売買を止める場合
escを長押しするかエクセルの開発→VisualBasic→中断を押す
もう一度始める場合
escを長押しするかエクセルの開発→VisualBasic→中断を押す→リセットを押した後、トレード開始ボタンを押す。(トレード開始ボタンを連打したりこの再開手順をうまく踏まないとプログラムが重複して動いてしまいます。)
※自動売買している銘柄は楽天証券で同じ銘柄を信用売買しないでください。
※自動売買を始める時は、その銘柄の建玉がないことを確認してください。
※同じように、エラー等で自動売買が途中で止まってしまった場合などでもう一度自動売買を開始するときは、その銘柄の全建玉を決済してから行ってください。
※自動売買中はmainのシートから変更しないでください。VBAプログラムはmainのシートに対して動いているので売買中にほかのシートに移るとエラーが出ます。</t>
    <rPh sb="19" eb="21">
      <t>センタク</t>
    </rPh>
    <rPh sb="66" eb="68">
      <t>センタク</t>
    </rPh>
    <rPh sb="310" eb="314">
      <t>ジドウバイバイ</t>
    </rPh>
    <rPh sb="315" eb="316">
      <t>ハジ</t>
    </rPh>
    <rPh sb="318" eb="319">
      <t>トキ</t>
    </rPh>
    <rPh sb="323" eb="325">
      <t>メイガラ</t>
    </rPh>
    <rPh sb="326" eb="328">
      <t>タテギョク</t>
    </rPh>
    <rPh sb="334" eb="336">
      <t>カクニン</t>
    </rPh>
    <rPh sb="345" eb="346">
      <t>オナ</t>
    </rPh>
    <rPh sb="354" eb="355">
      <t>トウ</t>
    </rPh>
    <rPh sb="356" eb="360">
      <t>ジドウバイバイ</t>
    </rPh>
    <rPh sb="361" eb="363">
      <t>トチュウ</t>
    </rPh>
    <rPh sb="379" eb="381">
      <t>イチド</t>
    </rPh>
    <rPh sb="381" eb="385">
      <t>ジドウバイバイ</t>
    </rPh>
    <rPh sb="386" eb="388">
      <t>カイシ</t>
    </rPh>
    <rPh sb="396" eb="398">
      <t>メイガラ</t>
    </rPh>
    <rPh sb="399" eb="402">
      <t>ゼンタテギョク</t>
    </rPh>
    <rPh sb="403" eb="405">
      <t>ケッサイ</t>
    </rPh>
    <rPh sb="409" eb="410">
      <t>オコナ</t>
    </rPh>
    <rPh sb="419" eb="423">
      <t>ジドウバイバイ</t>
    </rPh>
    <rPh sb="423" eb="424">
      <t>チュウ</t>
    </rPh>
    <rPh sb="435" eb="437">
      <t>ヘンコウ</t>
    </rPh>
    <rPh sb="464" eb="465">
      <t>タイ</t>
    </rPh>
    <rPh sb="467" eb="468">
      <t>ウゴ</t>
    </rPh>
    <rPh sb="474" eb="477">
      <t>バイバイチュウ</t>
    </rPh>
    <rPh sb="485" eb="486">
      <t>ウツ</t>
    </rPh>
    <rPh sb="492" eb="493">
      <t>デ</t>
    </rPh>
    <phoneticPr fontId="1"/>
  </si>
  <si>
    <t>合計損益</t>
    <rPh sb="0" eb="4">
      <t>ゴウケイソンエキ</t>
    </rPh>
    <phoneticPr fontId="1"/>
  </si>
  <si>
    <t>勝率</t>
    <rPh sb="0" eb="2">
      <t>ショウリツ</t>
    </rPh>
    <phoneticPr fontId="1"/>
  </si>
  <si>
    <t>上記のように点線が二行存在する場合は、トレード開始ボタンを押す前に、データ表示数を80など、増やして、15に戻して、点線を一行のみに現れるようにしてください。</t>
    <rPh sb="0" eb="1">
      <t>ジョウキ</t>
    </rPh>
    <rPh sb="5" eb="7">
      <t>テンセン</t>
    </rPh>
    <rPh sb="8" eb="12">
      <t>ニギョウソンザイ</t>
    </rPh>
    <rPh sb="14" eb="16">
      <t>バアイ</t>
    </rPh>
    <rPh sb="22" eb="24">
      <t>カイシ</t>
    </rPh>
    <rPh sb="28" eb="29">
      <t>オ</t>
    </rPh>
    <rPh sb="30" eb="31">
      <t>マエ</t>
    </rPh>
    <rPh sb="36" eb="39">
      <t>ヒョウジスウ</t>
    </rPh>
    <rPh sb="45" eb="46">
      <t>フ</t>
    </rPh>
    <rPh sb="53" eb="54">
      <t>モド</t>
    </rPh>
    <rPh sb="57" eb="59">
      <t>テンセン</t>
    </rPh>
    <rPh sb="60" eb="62">
      <t>イチギョウ</t>
    </rPh>
    <rPh sb="65" eb="66">
      <t>アラワ</t>
    </rPh>
    <phoneticPr fontId="1"/>
  </si>
  <si>
    <t>このシステムはVBAプログラミングの参考のため無料配布され、いかなる有料配布も認めません。</t>
    <rPh sb="18" eb="20">
      <t>サンコウ</t>
    </rPh>
    <rPh sb="23" eb="27">
      <t>ムリョウハイフ</t>
    </rPh>
    <rPh sb="34" eb="38">
      <t>ユウリョウハイフ</t>
    </rPh>
    <rPh sb="39" eb="40">
      <t>ミト</t>
    </rPh>
    <phoneticPr fontId="1"/>
  </si>
  <si>
    <t>実行成功数</t>
    <rPh sb="0" eb="1">
      <t>ジッコウ</t>
    </rPh>
    <rPh sb="1" eb="4">
      <t>セイコウスウ</t>
    </rPh>
    <phoneticPr fontId="1"/>
  </si>
  <si>
    <t>ID(日付)</t>
    <rPh sb="3" eb="5">
      <t>ヒヅケ</t>
    </rPh>
    <phoneticPr fontId="1"/>
  </si>
  <si>
    <t>建市場</t>
    <rPh sb="0" eb="1">
      <t>タ</t>
    </rPh>
    <rPh sb="1" eb="3">
      <t>シジョウ</t>
    </rPh>
    <phoneticPr fontId="1"/>
  </si>
  <si>
    <t>発注内容</t>
    <rPh sb="0" eb="2">
      <t>ハッチュウ</t>
    </rPh>
    <rPh sb="2" eb="4">
      <t>ナイヨウ</t>
    </rPh>
    <phoneticPr fontId="1"/>
  </si>
  <si>
    <t>--------</t>
  </si>
  <si>
    <t>発注済み</t>
  </si>
  <si>
    <t>初期設定完了</t>
  </si>
  <si>
    <t>2024/03/25</t>
  </si>
  <si>
    <t>14:20</t>
  </si>
  <si>
    <t>14:25</t>
  </si>
  <si>
    <t>14:30</t>
  </si>
  <si>
    <t>14:35</t>
  </si>
  <si>
    <t>14:40</t>
  </si>
  <si>
    <t>14:45</t>
  </si>
  <si>
    <t>14:50</t>
  </si>
  <si>
    <t>14:55</t>
  </si>
  <si>
    <t>15:00</t>
  </si>
  <si>
    <t>2024/03/26</t>
    <phoneticPr fontId="1"/>
  </si>
  <si>
    <t>09:00</t>
    <phoneticPr fontId="1"/>
  </si>
  <si>
    <t>09:05</t>
    <phoneticPr fontId="1"/>
  </si>
  <si>
    <t>08:05:04</t>
  </si>
  <si>
    <t>09:10</t>
    <phoneticPr fontId="1"/>
  </si>
  <si>
    <t>08:10:01</t>
  </si>
  <si>
    <t>エラー[信用取引に関わるクロス取引になる可能性がございます。クロス取引を行う場合は、執行条件に「寄付」または「引け」をご指定ください。]</t>
  </si>
  <si>
    <t>08:10:04</t>
  </si>
  <si>
    <t>買</t>
  </si>
  <si>
    <t>08:10:11</t>
  </si>
  <si>
    <t>08:10:59</t>
  </si>
  <si>
    <t>09:15</t>
    <phoneticPr fontId="1"/>
  </si>
  <si>
    <t>09:20</t>
    <phoneticPr fontId="1"/>
  </si>
  <si>
    <t>08:20:11</t>
  </si>
  <si>
    <t>09:25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</si>
</sst>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0"/>
  </numFmts>
  <fonts count="14">
    <font>
      <sz val="11"/>
      <color theme="1"/>
      <name val="游ゴシック"/>
      <family val="2"/>
      <charset val="128"/>
      <scheme val="minor"/>
    </font>
    <font>
      <sz val="6"/>
      <name val="游ゴシック"/>
      <family val="2"/>
      <charset val="128"/>
      <scheme val="minor"/>
    </font>
    <font>
      <b/>
      <sz val="14"/>
      <color rgb="FFFFFFFF"/>
      <name val="Arial"/>
      <family val="2"/>
    </font>
    <font>
      <sz val="14"/>
      <color rgb="FF333333"/>
      <name val="Arial"/>
      <family val="2"/>
    </font>
    <font>
      <sz val="11"/>
      <color rgb="FF000000"/>
      <name val="游ゴシック"/>
      <family val="3"/>
      <charset val="128"/>
    </font>
    <font>
      <sz val="14"/>
      <color rgb="FF333333"/>
      <name val="ＭＳ ゴシック"/>
      <family val="3"/>
      <charset val="128"/>
    </font>
    <font>
      <sz val="14"/>
      <color rgb="FF333333"/>
      <name val="Arial"/>
      <family val="3"/>
      <charset val="128"/>
    </font>
    <font>
      <sz val="9"/>
      <color indexed="81"/>
      <name val="MS P ゴシック"/>
      <family val="3"/>
      <charset val="128"/>
    </font>
    <font>
      <b/>
      <sz val="9"/>
      <color indexed="81"/>
      <name val="MS P ゴシック"/>
      <family val="3"/>
      <charset val="128"/>
    </font>
    <font>
      <sz val="11"/>
      <color rgb="FFFF0000"/>
      <name val="游ゴシック"/>
      <family val="2"/>
      <charset val="128"/>
      <scheme val="minor"/>
    </font>
    <font>
      <b/>
      <sz val="11"/>
      <color theme="1"/>
      <name val="游ゴシック"/>
      <family val="3"/>
      <charset val="128"/>
      <scheme val="minor"/>
    </font>
    <font>
      <sz val="11"/>
      <color rgb="FFFF0000"/>
      <name val="游ゴシック"/>
      <family val="3"/>
      <charset val="128"/>
      <scheme val="minor"/>
    </font>
    <font>
      <u/>
      <sz val="11"/>
      <color theme="10"/>
      <name val="游ゴシック"/>
      <family val="2"/>
      <charset val="128"/>
      <scheme val="minor"/>
    </font>
    <font>
      <sz val="14"/>
      <color rgb="FF333333"/>
      <name val="Segoe UI Symbol"/>
      <family val="2"/>
    </font>
  </fonts>
  <fills count="10">
    <fill>
      <patternFill patternType="none"/>
    </fill>
    <fill>
      <patternFill patternType="gray125"/>
    </fill>
    <fill>
      <patternFill patternType="solid">
        <fgColor rgb="FFFFFFFF"/>
        <bgColor indexed="64"/>
      </patternFill>
    </fill>
    <fill>
      <patternFill patternType="solid">
        <fgColor rgb="FF25B09A"/>
        <bgColor indexed="64"/>
      </patternFill>
    </fill>
    <fill>
      <patternFill patternType="solid">
        <fgColor rgb="FFF8F8F8"/>
        <bgColor indexed="64"/>
      </patternFill>
    </fill>
    <fill>
      <patternFill patternType="solid">
        <fgColor rgb="FF8FD4C9"/>
        <bgColor indexed="64"/>
      </patternFill>
    </fill>
    <fill>
      <patternFill patternType="solid">
        <fgColor theme="8" tint="0.79998168889431442"/>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12" fillId="0" borderId="0" applyNumberFormat="0" applyFill="0" applyBorder="0" applyAlignment="0" applyProtection="0">
      <alignment vertical="center"/>
    </xf>
  </cellStyleXfs>
  <cellXfs count="66">
    <xf numFmtId="0" fontId="0" fillId="0" borderId="0" xfId="0">
      <alignment vertical="center"/>
    </xf>
    <xf numFmtId="0" fontId="0" fillId="0" borderId="0" xfId="0" quotePrefix="1">
      <alignment vertical="center"/>
    </xf>
    <xf numFmtId="0" fontId="2" fillId="5" borderId="0" xfId="0" applyFont="1" applyFill="1" applyAlignment="1">
      <alignment horizontal="center" vertical="center" wrapText="1"/>
    </xf>
    <xf numFmtId="0" fontId="3" fillId="2" borderId="0" xfId="0" applyFont="1" applyFill="1" applyAlignment="1">
      <alignment horizontal="left" vertical="center" wrapText="1"/>
    </xf>
    <xf numFmtId="0" fontId="3" fillId="4" borderId="0" xfId="0" applyFont="1" applyFill="1" applyAlignment="1">
      <alignment horizontal="left" vertical="center" wrapText="1"/>
    </xf>
    <xf numFmtId="0" fontId="2" fillId="3" borderId="0" xfId="0" applyFont="1" applyFill="1" applyAlignment="1">
      <alignment horizontal="left" vertical="center" wrapText="1"/>
    </xf>
    <xf numFmtId="0" fontId="2" fillId="3" borderId="0" xfId="0" applyFont="1" applyFill="1" applyAlignment="1">
      <alignment horizontal="center" vertical="center" wrapText="1"/>
    </xf>
    <xf numFmtId="0" fontId="2" fillId="5" borderId="0" xfId="0" applyFont="1" applyFill="1" applyAlignment="1">
      <alignment horizontal="center" vertical="center" wrapText="1"/>
    </xf>
    <xf numFmtId="0" fontId="2" fillId="3" borderId="0" xfId="0" applyFont="1" applyFill="1" applyAlignment="1">
      <alignment horizontal="left" vertical="center" wrapText="1"/>
    </xf>
    <xf numFmtId="0" fontId="3" fillId="4" borderId="0" xfId="0" applyFont="1" applyFill="1" applyAlignment="1">
      <alignment horizontal="left" vertical="center" wrapText="1"/>
    </xf>
    <xf numFmtId="0" fontId="3" fillId="2" borderId="0" xfId="0" applyFont="1" applyFill="1" applyAlignment="1">
      <alignment horizontal="left" vertical="center" wrapText="1"/>
    </xf>
    <xf numFmtId="0" fontId="2" fillId="5" borderId="0" xfId="0" applyFont="1" applyFill="1" applyAlignment="1">
      <alignment horizontal="center" vertical="center" wrapText="1"/>
    </xf>
    <xf numFmtId="0" fontId="6" fillId="2" borderId="0" xfId="0" applyFont="1" applyFill="1" applyAlignment="1">
      <alignment horizontal="left" vertical="center" wrapText="1"/>
    </xf>
    <xf numFmtId="0" fontId="0" fillId="0" borderId="1" xfId="0" applyBorder="1">
      <alignment vertical="center"/>
    </xf>
    <xf numFmtId="0" fontId="3" fillId="2" borderId="0" xfId="0" applyFont="1" applyFill="1" applyAlignment="1">
      <alignment horizontal="center" vertical="center" wrapText="1"/>
    </xf>
    <xf numFmtId="0" fontId="3" fillId="4" borderId="0" xfId="0" applyFont="1" applyFill="1" applyAlignment="1">
      <alignment horizontal="center" vertical="center" wrapText="1"/>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Border="1">
      <alignment vertical="center"/>
    </xf>
    <xf numFmtId="0" fontId="0" fillId="0" borderId="0" xfId="0" quotePrefix="1" applyBorder="1">
      <alignment vertical="center"/>
    </xf>
    <xf numFmtId="0" fontId="0" fillId="9" borderId="1" xfId="0" applyFill="1" applyBorder="1">
      <alignment vertical="center"/>
    </xf>
    <xf numFmtId="0" fontId="0" fillId="9" borderId="3" xfId="0" applyFill="1" applyBorder="1">
      <alignment vertical="center"/>
    </xf>
    <xf numFmtId="0" fontId="0" fillId="8" borderId="1" xfId="0" applyFill="1" applyBorder="1">
      <alignment vertical="center"/>
    </xf>
    <xf numFmtId="0" fontId="0" fillId="0" borderId="0" xfId="0" applyFill="1">
      <alignment vertical="center"/>
    </xf>
    <xf numFmtId="0" fontId="0" fillId="0" borderId="1" xfId="0" applyFill="1" applyBorder="1">
      <alignment vertical="center"/>
    </xf>
    <xf numFmtId="1" fontId="0" fillId="0" borderId="1" xfId="0" applyNumberFormat="1" applyFill="1" applyBorder="1">
      <alignment vertical="center"/>
    </xf>
    <xf numFmtId="0" fontId="0" fillId="9" borderId="1" xfId="0" applyFill="1" applyBorder="1" applyAlignment="1">
      <alignment horizontal="center" vertical="center"/>
    </xf>
    <xf numFmtId="0" fontId="0" fillId="0" borderId="0" xfId="0" applyProtection="1">
      <alignment vertical="center"/>
    </xf>
    <xf numFmtId="0" fontId="0" fillId="0" borderId="0" xfId="0" applyFill="1" applyProtection="1">
      <alignment vertical="center"/>
    </xf>
    <xf numFmtId="0" fontId="10" fillId="0" borderId="0" xfId="0" applyFont="1" applyProtection="1">
      <alignment vertical="center"/>
    </xf>
    <xf numFmtId="0" fontId="0" fillId="9" borderId="1" xfId="0" applyFill="1" applyBorder="1" applyProtection="1">
      <alignment vertical="center"/>
    </xf>
    <xf numFmtId="0" fontId="0" fillId="0" borderId="0" xfId="0" applyBorder="1" applyProtection="1">
      <alignment vertical="center"/>
    </xf>
    <xf numFmtId="0" fontId="9" fillId="0" borderId="0" xfId="0" applyFont="1">
      <alignment vertical="center"/>
    </xf>
    <xf numFmtId="0" fontId="0" fillId="0" borderId="0" xfId="0" applyAlignment="1">
      <alignment vertical="center" wrapText="1"/>
    </xf>
    <xf numFmtId="0" fontId="12" fillId="0" borderId="0" xfId="1">
      <alignment vertical="center"/>
    </xf>
    <xf numFmtId="0" fontId="13" fillId="4" borderId="0" xfId="0" applyFont="1" applyFill="1" applyAlignment="1">
      <alignment horizontal="left" vertical="center" wrapText="1"/>
    </xf>
    <xf numFmtId="177" fontId="0" fillId="0" borderId="1" xfId="0" applyNumberFormat="1" applyBorder="1">
      <alignment vertical="center"/>
    </xf>
    <xf numFmtId="0" fontId="11" fillId="0" borderId="0" xfId="0" applyFont="1" applyAlignment="1">
      <alignment vertical="center" wrapText="1"/>
    </xf>
    <xf numFmtId="0" fontId="0" fillId="9" borderId="1" xfId="0" quotePrefix="1" applyFill="1" applyBorder="1">
      <alignment vertical="center"/>
    </xf>
    <xf numFmtId="0" fontId="0" fillId="0" borderId="1" xfId="0" quotePrefix="1" applyBorder="1" applyProtection="1">
      <alignment vertical="center"/>
    </xf>
    <xf numFmtId="0" fontId="0" fillId="0" borderId="1" xfId="0" applyBorder="1" applyProtection="1">
      <alignment vertical="center"/>
    </xf>
    <xf numFmtId="0" fontId="0" fillId="0" borderId="1" xfId="0" applyFill="1" applyBorder="1" applyProtection="1">
      <alignment vertical="center"/>
    </xf>
    <xf numFmtId="176" fontId="0" fillId="0" borderId="1" xfId="0" applyNumberFormat="1" applyBorder="1">
      <alignment vertical="center"/>
    </xf>
    <xf numFmtId="0" fontId="0" fillId="0" borderId="1" xfId="0" quotePrefix="1" applyBorder="1">
      <alignment vertical="center"/>
    </xf>
    <xf numFmtId="0" fontId="0" fillId="0" borderId="3" xfId="0" applyFill="1" applyBorder="1">
      <alignment vertical="center"/>
    </xf>
    <xf numFmtId="0" fontId="0" fillId="0" borderId="3" xfId="0" applyBorder="1">
      <alignment vertical="center"/>
    </xf>
    <xf numFmtId="0" fontId="0" fillId="0" borderId="0" xfId="0" applyAlignment="1">
      <alignment horizontal="left" vertical="center" wrapText="1"/>
    </xf>
    <xf numFmtId="0" fontId="0" fillId="0" borderId="2" xfId="0" quotePrefix="1" applyBorder="1" applyAlignment="1">
      <alignment horizontal="center" vertical="center"/>
    </xf>
    <xf numFmtId="0" fontId="0" fillId="0" borderId="0" xfId="0" quotePrefix="1" applyBorder="1" applyAlignment="1">
      <alignment horizontal="center" vertical="center"/>
    </xf>
    <xf numFmtId="0" fontId="0" fillId="9" borderId="1" xfId="0" applyFill="1" applyBorder="1" applyAlignment="1">
      <alignment horizontal="center" vertical="center"/>
    </xf>
    <xf numFmtId="0" fontId="0" fillId="9" borderId="3" xfId="0" applyFill="1" applyBorder="1" applyAlignment="1">
      <alignment horizontal="center" vertical="center"/>
    </xf>
    <xf numFmtId="0" fontId="9" fillId="0" borderId="0" xfId="0" applyFont="1" applyAlignment="1">
      <alignment horizontal="center" vertical="center"/>
    </xf>
    <xf numFmtId="0" fontId="0" fillId="0" borderId="1" xfId="0" applyBorder="1" applyAlignment="1">
      <alignment horizontal="center" vertical="center"/>
    </xf>
    <xf numFmtId="0" fontId="0" fillId="8" borderId="1" xfId="0" applyFill="1" applyBorder="1" applyAlignment="1">
      <alignment horizontal="center" vertical="center"/>
    </xf>
    <xf numFmtId="0" fontId="10" fillId="0" borderId="0" xfId="0" applyFont="1" applyAlignment="1" applyProtection="1">
      <alignment horizontal="center" vertical="center"/>
    </xf>
    <xf numFmtId="0" fontId="9" fillId="0" borderId="0" xfId="0" applyFont="1" applyAlignment="1" applyProtection="1">
      <alignment horizontal="center" vertical="center"/>
    </xf>
    <xf numFmtId="0" fontId="11" fillId="0" borderId="0" xfId="0" applyFont="1" applyAlignment="1" applyProtection="1">
      <alignment horizontal="center" vertical="center"/>
    </xf>
    <xf numFmtId="0" fontId="0" fillId="6" borderId="1" xfId="0" applyFill="1" applyBorder="1" applyAlignment="1">
      <alignment horizontal="center" vertical="center"/>
    </xf>
    <xf numFmtId="0" fontId="2" fillId="3" borderId="0" xfId="0" applyFont="1" applyFill="1" applyAlignment="1">
      <alignment horizontal="left" vertical="center" wrapText="1"/>
    </xf>
    <xf numFmtId="0" fontId="3" fillId="4" borderId="0" xfId="0" applyFont="1" applyFill="1" applyAlignment="1">
      <alignment horizontal="left" vertical="center" wrapText="1"/>
    </xf>
    <xf numFmtId="0" fontId="3" fillId="2" borderId="0" xfId="0" applyFont="1" applyFill="1" applyAlignment="1">
      <alignment horizontal="left" vertical="center" wrapText="1"/>
    </xf>
    <xf numFmtId="0" fontId="2" fillId="5" borderId="0" xfId="0" applyFont="1" applyFill="1" applyAlignment="1">
      <alignment horizontal="center" vertical="center" wrapText="1"/>
    </xf>
    <xf numFmtId="0" fontId="2" fillId="3" borderId="0" xfId="0" applyFont="1" applyFill="1" applyAlignment="1">
      <alignment horizontal="center" vertical="center" wrapText="1"/>
    </xf>
    <xf numFmtId="0" fontId="3" fillId="2" borderId="0" xfId="0" applyFont="1" applyFill="1" applyAlignment="1">
      <alignment horizontal="center" vertical="center" wrapText="1"/>
    </xf>
    <xf numFmtId="0" fontId="3" fillId="4" borderId="0" xfId="0" applyFont="1" applyFill="1" applyAlignment="1">
      <alignment horizontal="center" vertical="center" wrapText="1"/>
    </xf>
    <xf numFmtId="0" fontId="0" fillId="7" borderId="1"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3a11e39a0a2342d4bef435e97ed9e41f">
      <tp t="s">
        <v/>
        <stp/>
        <stp>MarginPositionList</stp>
        <stp>2372117712416,3,3,0,0</stp>
        <stp>1458</stp>
        <stp>1</stp>
        <stp>1</stp>
        <stp>3</stp>
        <stp>0</stp>
        <tr r="A4" s="3"/>
      </tp>
      <tp t="s">
        <v/>
        <stp/>
        <stp>MarginPositionList</stp>
        <stp>2372117712416,3,3,7,7</stp>
        <stp>1458</stp>
        <stp>1</stp>
        <stp>1</stp>
        <stp>1</stp>
        <stp>0</stp>
        <tr r="H4" s="3"/>
      </tp>
      <tp t="s">
        <v/>
        <stp/>
        <stp>MarginOpenOrder</stp>
        <stp>2372203643584,3,3,1,1</stp>
        <stp>260827378</stp>
        <stp>0</stp>
        <stp>1458</stp>
        <stp/>
        <stp>0</stp>
        <stp>1</stp>
        <stp>1</stp>
        <stp>1</stp>
        <stp>0</stp>
        <stp/>
        <stp>1</stp>
        <stp/>
        <stp>1</stp>
        <stp/>
        <stp/>
        <stp/>
        <stp/>
        <stp>0</stp>
        <stp/>
        <stp/>
        <stp/>
        <stp/>
        <tr r="B4" s="2"/>
      </tp>
      <tp>
        <v>35948.352400000003</v>
        <stp/>
        <stp>Market</stp>
        <stp>STOCK</stp>
        <stp>14580.T</stp>
        <stp>出来高加重平均</stp>
        <tr r="E3" s="1"/>
      </tp>
    </main>
    <main first="rtdsrv.3a11e39a0a2342d4bef435e97ed9e41f">
      <tp t="s">
        <v/>
        <stp/>
        <stp>OrderIDList</stp>
        <stp>2372196205312,4,4,19,19</stp>
        <tr r="T5" s="1"/>
      </tp>
    </main>
    <main first="rtdsrv.3a11e39a0a2342d4bef435e97ed9e41f">
      <tp t="s">
        <v/>
        <stp/>
        <stp>OrderIDList</stp>
        <stp>2372204023296,3,3,6,6</stp>
        <tr r="G4" s="4"/>
      </tp>
    </main>
    <main first="rtdsrv.3a11e39a0a2342d4bef435e97ed9e41f">
      <tp t="s">
        <v/>
        <stp/>
        <stp>Chart</stp>
        <stp>2372196205312,4,4,0,0</stp>
        <stp>1458</stp>
        <stp>5M</stp>
        <stp>10</stp>
        <tr r="A5" s="1"/>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7</xdr:col>
      <xdr:colOff>366713</xdr:colOff>
      <xdr:row>36</xdr:row>
      <xdr:rowOff>38231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44704" y="7250906"/>
          <a:ext cx="7772400" cy="4788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347663</xdr:colOff>
          <xdr:row>1</xdr:row>
          <xdr:rowOff>157163</xdr:rowOff>
        </xdr:from>
        <xdr:to>
          <xdr:col>17</xdr:col>
          <xdr:colOff>328613</xdr:colOff>
          <xdr:row>3</xdr:row>
          <xdr:rowOff>109538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トレード開始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2086-C42D-415C-9D41-856E4E450AE6}">
  <sheetPr codeName="Sheet5"/>
  <dimension ref="A1:L40"/>
  <sheetViews>
    <sheetView tabSelected="1" zoomScale="80" workbookViewId="0">
      <selection activeCell="A14" sqref="A14"/>
    </sheetView>
  </sheetViews>
  <sheetFormatPr defaultRowHeight="17.649999999999999"/>
  <cols>
    <col min="1" max="1" width="59.8125" customWidth="1"/>
    <col min="3" max="3" width="61.25" customWidth="1"/>
  </cols>
  <sheetData>
    <row r="1" spans="1:3">
      <c r="A1" s="32" t="s">
        <v>155</v>
      </c>
    </row>
    <row r="3" spans="1:3" ht="110.65" customHeight="1">
      <c r="A3" s="33" t="s">
        <v>156</v>
      </c>
      <c r="C3" s="46" t="s">
        <v>158</v>
      </c>
    </row>
    <row r="4" spans="1:3">
      <c r="A4" s="33"/>
      <c r="C4" s="46"/>
    </row>
    <row r="5" spans="1:3">
      <c r="C5" s="46"/>
    </row>
    <row r="6" spans="1:3" ht="35.25">
      <c r="A6" s="37" t="s">
        <v>162</v>
      </c>
      <c r="C6" s="46"/>
    </row>
    <row r="7" spans="1:3">
      <c r="C7" s="46"/>
    </row>
    <row r="8" spans="1:3">
      <c r="A8" s="33"/>
      <c r="C8" s="46"/>
    </row>
    <row r="9" spans="1:3">
      <c r="C9" s="46"/>
    </row>
    <row r="10" spans="1:3">
      <c r="C10" s="46"/>
    </row>
    <row r="11" spans="1:3">
      <c r="C11" s="46"/>
    </row>
    <row r="12" spans="1:3">
      <c r="A12" s="34"/>
      <c r="C12" s="46"/>
    </row>
    <row r="13" spans="1:3">
      <c r="C13" s="46"/>
    </row>
    <row r="14" spans="1:3">
      <c r="C14" s="46"/>
    </row>
    <row r="38" spans="3:12">
      <c r="D38" s="19"/>
      <c r="E38" s="19"/>
      <c r="F38" s="19"/>
      <c r="G38" s="19"/>
      <c r="H38" s="19"/>
    </row>
    <row r="40" spans="3:12">
      <c r="C40" s="47" t="s">
        <v>161</v>
      </c>
      <c r="D40" s="48"/>
      <c r="E40" s="48"/>
      <c r="F40" s="48"/>
      <c r="G40" s="48"/>
      <c r="H40" s="48"/>
      <c r="I40" s="48"/>
      <c r="J40" s="48"/>
      <c r="K40" s="48"/>
      <c r="L40" s="48"/>
    </row>
  </sheetData>
  <sheetProtection algorithmName="SHA-512" hashValue="5po0iastgjBnvANomg8Iow2Hjg0A5thbAmxxJaQuxvXQ4yPiFk4jz7kCV/hRYxodDB3trRY4xAAaMEKksYEJww==" saltValue="GM3ZUJKjHhz6Eu4rIE0TFg==" spinCount="100000" sheet="1" objects="1" scenarios="1"/>
  <mergeCells count="2">
    <mergeCell ref="C3:C14"/>
    <mergeCell ref="C40:L40"/>
  </mergeCells>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F1FA3-B79E-47C0-97BF-2E0E3BBCA93E}">
  <sheetPr codeName="Sheet1"/>
  <dimension ref="A1:W401"/>
  <sheetViews>
    <sheetView zoomScale="70" zoomScaleNormal="55" workbookViewId="0">
      <selection activeCell="P7" sqref="P7:P82"/>
    </sheetView>
  </sheetViews>
  <sheetFormatPr defaultRowHeight="17.649999999999999"/>
  <cols>
    <col min="1" max="1" width="11.3125" customWidth="1"/>
    <col min="7" max="7" width="9.3125" customWidth="1"/>
    <col min="8" max="8" width="9.4375" customWidth="1"/>
    <col min="9" max="9" width="9.9375" customWidth="1"/>
    <col min="14" max="14" width="9.6875" customWidth="1"/>
    <col min="15" max="15" width="9.9375" customWidth="1"/>
    <col min="20" max="20" width="12.6875" customWidth="1"/>
    <col min="22" max="22" width="22.0625" customWidth="1"/>
  </cols>
  <sheetData>
    <row r="1" spans="1:23">
      <c r="A1" s="22" t="s">
        <v>7</v>
      </c>
      <c r="B1" s="24">
        <v>1458</v>
      </c>
      <c r="D1" s="22" t="s">
        <v>117</v>
      </c>
      <c r="E1" s="24">
        <v>1</v>
      </c>
      <c r="G1" s="51" t="s">
        <v>141</v>
      </c>
      <c r="H1" s="51"/>
      <c r="I1" s="51"/>
      <c r="J1" s="51"/>
      <c r="K1" s="51"/>
      <c r="L1" s="51"/>
      <c r="M1" s="51"/>
      <c r="N1" s="51"/>
      <c r="O1" s="51"/>
    </row>
    <row r="2" spans="1:23">
      <c r="A2" s="38" t="s">
        <v>163</v>
      </c>
      <c r="B2" s="24" t="s">
        <v>169</v>
      </c>
      <c r="E2" s="23"/>
      <c r="G2" s="51" t="s">
        <v>144</v>
      </c>
      <c r="H2" s="51"/>
      <c r="I2" s="51"/>
      <c r="J2" s="51"/>
      <c r="K2" s="51"/>
      <c r="L2" s="51"/>
      <c r="M2" s="51"/>
      <c r="N2" s="51"/>
      <c r="O2" s="51"/>
    </row>
    <row r="3" spans="1:23">
      <c r="A3" s="20" t="s">
        <v>8</v>
      </c>
      <c r="B3" s="24">
        <v>10</v>
      </c>
      <c r="D3" s="20" t="s">
        <v>9</v>
      </c>
      <c r="E3" s="25" cm="1">
        <f t="array" ref="E3">_xll.RssMarket(B1, "出来高加重平均")</f>
        <v>35948.352400000003</v>
      </c>
      <c r="G3" s="20" t="s">
        <v>133</v>
      </c>
      <c r="H3" s="13">
        <f>COUNTIF(I7:I82,"=買")</f>
        <v>1</v>
      </c>
      <c r="J3" s="49" t="s">
        <v>137</v>
      </c>
      <c r="K3" s="49"/>
      <c r="L3" s="13">
        <f>COUNTIF(建玉詳細!A6:A50,B1)</f>
        <v>0</v>
      </c>
      <c r="N3" s="20" t="s">
        <v>135</v>
      </c>
      <c r="O3" s="13">
        <f>COUNTIF(M7:N82,"=売")</f>
        <v>1</v>
      </c>
    </row>
    <row r="4" spans="1:23">
      <c r="A4" s="21" t="s">
        <v>100</v>
      </c>
      <c r="B4" s="44">
        <f>COUNTA(A:A)-1</f>
        <v>21</v>
      </c>
      <c r="D4" s="21" t="s">
        <v>164</v>
      </c>
      <c r="E4" s="44">
        <f ca="1">DAY(NOW())*10000+HOUR(NOW())*100+MINUTE(NOW())</f>
        <v>260825</v>
      </c>
      <c r="G4" s="21" t="s">
        <v>134</v>
      </c>
      <c r="H4" s="45">
        <f>COUNTIF(I7:I82,"=売")</f>
        <v>1</v>
      </c>
      <c r="J4" s="50" t="s">
        <v>138</v>
      </c>
      <c r="K4" s="50"/>
      <c r="L4" s="45">
        <f>COUNTIF(建玉詳細!H6:H50,B1)</f>
        <v>0</v>
      </c>
      <c r="N4" s="21" t="s">
        <v>136</v>
      </c>
      <c r="O4" s="45">
        <f>COUNTIF(M7:N82,"=買")</f>
        <v>1</v>
      </c>
    </row>
    <row r="5" spans="1:23">
      <c r="A5" s="53" t="str" cm="1">
        <f t="array" ref="A5">_xll.RssChart($A$6:$F$6, B1, "5M", B3)</f>
        <v>=RssChart($A$6:$F$6, B1, "5M", B3) =&gt; 配信中</v>
      </c>
      <c r="B5" s="53"/>
      <c r="C5" s="53"/>
      <c r="D5" s="53"/>
      <c r="E5" s="53"/>
      <c r="F5" s="53"/>
      <c r="G5" s="53"/>
      <c r="H5" s="53"/>
      <c r="I5" s="53"/>
      <c r="J5" s="53"/>
      <c r="K5" s="53"/>
      <c r="L5" s="53"/>
      <c r="M5" s="53"/>
      <c r="N5" s="53"/>
      <c r="O5" s="53"/>
      <c r="P5" s="53"/>
      <c r="Q5" s="53"/>
      <c r="R5" s="53"/>
      <c r="T5" s="53" t="str" cm="1">
        <f t="array" ref="T5">_xll.RssOrderIDList($T$7:$V$7)</f>
        <v>=RssOrderIDList($T$7:$V$7) =&gt; 配信中</v>
      </c>
      <c r="U5" s="53"/>
      <c r="V5" s="53"/>
    </row>
    <row r="6" spans="1:23">
      <c r="A6" s="21" t="s">
        <v>0</v>
      </c>
      <c r="B6" s="21" t="s">
        <v>1</v>
      </c>
      <c r="C6" s="21" t="s">
        <v>2</v>
      </c>
      <c r="D6" s="21" t="s">
        <v>3</v>
      </c>
      <c r="E6" s="21" t="s">
        <v>4</v>
      </c>
      <c r="F6" s="21" t="s">
        <v>5</v>
      </c>
      <c r="G6" s="21" t="s">
        <v>99</v>
      </c>
      <c r="H6" s="21" t="s">
        <v>116</v>
      </c>
      <c r="I6" s="21" t="s">
        <v>10</v>
      </c>
      <c r="J6" s="21" t="s">
        <v>115</v>
      </c>
      <c r="K6" s="21" t="s">
        <v>119</v>
      </c>
      <c r="L6" s="21" t="s">
        <v>118</v>
      </c>
      <c r="M6" s="21" t="s">
        <v>121</v>
      </c>
      <c r="N6" s="21" t="s">
        <v>122</v>
      </c>
      <c r="O6" s="21" t="s">
        <v>120</v>
      </c>
      <c r="P6" s="21" t="s">
        <v>145</v>
      </c>
      <c r="Q6" s="21" t="s">
        <v>147</v>
      </c>
      <c r="R6" s="21" t="s">
        <v>146</v>
      </c>
      <c r="T6" s="20" t="s">
        <v>166</v>
      </c>
      <c r="U6" s="52"/>
      <c r="V6" s="52"/>
    </row>
    <row r="7" spans="1:23">
      <c r="A7" s="13" t="s">
        <v>170</v>
      </c>
      <c r="B7" s="13" t="s">
        <v>171</v>
      </c>
      <c r="C7" s="13">
        <v>36340</v>
      </c>
      <c r="D7" s="13">
        <v>36350</v>
      </c>
      <c r="E7" s="13">
        <v>36290</v>
      </c>
      <c r="F7" s="13">
        <v>36310</v>
      </c>
      <c r="G7" s="13">
        <f t="shared" ref="G7:G8" si="0">IF(ISNUMBER(F7)=FALSE,"",HOUR(B7)*100+MINUTE(B7))</f>
        <v>1420</v>
      </c>
      <c r="H7" s="42"/>
      <c r="I7" s="13" t="str">
        <f t="shared" ref="I7:I8" si="1">IF(OR(G7=1125,G7=1455),"",IF(AND(D7&gt;=H7,H7&gt;=E7,F7&gt;H7, H7&lt;&gt;"",G8&lt;&gt;""),"買",IF(AND(D7&gt;=H7,H7&gt;=E7,F7&lt;H7, H7&lt;&gt;"",G8&lt;&gt;""),"売","")))</f>
        <v/>
      </c>
      <c r="J7" s="13" t="str">
        <f t="shared" ref="J7:J8" si="2">IF(OR(I7="買",  I7="売"), F7, "")</f>
        <v/>
      </c>
      <c r="K7" s="13" t="str">
        <f t="shared" ref="K7:K8" si="3">IF(I7="買", $E$1,"")</f>
        <v/>
      </c>
      <c r="L7" s="13" t="str">
        <f>IF(I7="売", $E$1,"")</f>
        <v/>
      </c>
      <c r="M7" s="13"/>
      <c r="N7" s="13" t="str">
        <f t="shared" ref="N7:N22" si="4">IF(OR(E10="",O7="",M7&lt;&gt;""), "",IF(AND(I7="買",E10&lt;O7),"売",IF(AND(I7="売",D10&gt;O7),"買","")))</f>
        <v/>
      </c>
      <c r="O7" s="13"/>
      <c r="P7" s="13"/>
      <c r="Q7" s="13" t="str">
        <f>IF(AND(I7="買",P7&lt;&gt;""), P7-J7,IF(AND(I7="売",P7&lt;&gt;""), J7-P7,""))</f>
        <v/>
      </c>
      <c r="R7" s="13" t="str">
        <f>IF(OR(Q7="",Q7=0),"",IF(Q7&gt;0,"利確",IF(Q7&lt;0,"損切","")))</f>
        <v/>
      </c>
      <c r="S7" s="1"/>
      <c r="T7" s="13" t="s">
        <v>17</v>
      </c>
      <c r="U7" s="13" t="s">
        <v>152</v>
      </c>
      <c r="V7" s="13" t="s">
        <v>153</v>
      </c>
    </row>
    <row r="8" spans="1:23">
      <c r="A8" s="43" t="s">
        <v>170</v>
      </c>
      <c r="B8" s="43" t="s">
        <v>172</v>
      </c>
      <c r="C8" s="13">
        <v>36310</v>
      </c>
      <c r="D8" s="13">
        <v>36320</v>
      </c>
      <c r="E8" s="13">
        <v>36280</v>
      </c>
      <c r="F8" s="13">
        <v>36290</v>
      </c>
      <c r="G8" s="13">
        <f t="shared" si="0"/>
        <v>1425</v>
      </c>
      <c r="H8" s="42"/>
      <c r="I8" s="13" t="str">
        <f t="shared" si="1"/>
        <v/>
      </c>
      <c r="J8" s="13" t="str">
        <f t="shared" si="2"/>
        <v/>
      </c>
      <c r="K8" s="13" t="str">
        <f t="shared" si="3"/>
        <v/>
      </c>
      <c r="L8" s="13" t="str">
        <f t="shared" ref="L8" si="5">IF(I8="売", $E$1,"")</f>
        <v/>
      </c>
      <c r="M8" s="13"/>
      <c r="N8" s="13" t="str">
        <f t="shared" si="4"/>
        <v/>
      </c>
      <c r="O8" s="13"/>
      <c r="P8" s="13"/>
      <c r="Q8" s="13" t="str">
        <f t="shared" ref="Q8" si="6">IF(AND(I8="買",P8&lt;&gt;""), P8-J8,IF(AND(I8="売",P8&lt;&gt;""), J8-P8,""))</f>
        <v/>
      </c>
      <c r="R8" s="13" t="str">
        <f t="shared" ref="R8" si="7">IF(OR(Q8="",Q8=0),"",IF(Q8&gt;0,"利確",IF(Q8&lt;0,"損切","")))</f>
        <v/>
      </c>
      <c r="S8" s="1"/>
      <c r="T8" s="43">
        <v>260807358</v>
      </c>
      <c r="U8" s="43" t="s">
        <v>183</v>
      </c>
      <c r="V8" s="43" t="s">
        <v>168</v>
      </c>
      <c r="W8" s="1"/>
    </row>
    <row r="9" spans="1:23">
      <c r="A9" s="13" t="s">
        <v>170</v>
      </c>
      <c r="B9" s="13" t="s">
        <v>173</v>
      </c>
      <c r="C9" s="13">
        <v>36290</v>
      </c>
      <c r="D9" s="13">
        <v>36360</v>
      </c>
      <c r="E9" s="13">
        <v>36280</v>
      </c>
      <c r="F9" s="13">
        <v>36310</v>
      </c>
      <c r="G9" s="13">
        <f t="shared" ref="G9:G72" si="8">IF(ISNUMBER(F9)=FALSE,"",HOUR(B9)*100+MINUTE(B9))</f>
        <v>1430</v>
      </c>
      <c r="H9" s="42"/>
      <c r="I9" s="13" t="str">
        <f t="shared" ref="I9:I72" si="9">IF(OR(G9=1125,G9=1455),"",IF(AND(D9&gt;=H9,H9&gt;=E9,F9&gt;H9, H9&lt;&gt;"",G10&lt;&gt;""),"買",IF(AND(D9&gt;=H9,H9&gt;=E9,F9&lt;H9, H9&lt;&gt;"",G10&lt;&gt;""),"売","")))</f>
        <v/>
      </c>
      <c r="J9" s="13" t="str">
        <f t="shared" ref="J9:J72" si="10">IF(OR(I9="買",  I9="売"), F9, "")</f>
        <v/>
      </c>
      <c r="K9" s="13" t="str">
        <f t="shared" ref="K9:K72" si="11">IF(I9="買", $E$1,"")</f>
        <v/>
      </c>
      <c r="L9" s="13" t="str">
        <f t="shared" ref="L9:L72" si="12">IF(I9="売", $E$1,"")</f>
        <v/>
      </c>
      <c r="M9" s="13"/>
      <c r="N9" s="13" t="str">
        <f t="shared" si="4"/>
        <v/>
      </c>
      <c r="O9" s="13"/>
      <c r="P9" s="13"/>
      <c r="Q9" s="13" t="str">
        <f t="shared" ref="Q9:Q72" si="13">IF(AND(I9="買",P9&lt;&gt;""), P9-J9,IF(AND(I9="売",P9&lt;&gt;""), J9-P9,""))</f>
        <v/>
      </c>
      <c r="R9" s="13" t="str">
        <f t="shared" ref="R9:R72" si="14">IF(OR(Q9="",Q9=0),"",IF(Q9&gt;0,"利確",IF(Q9&lt;0,"損切","")))</f>
        <v/>
      </c>
      <c r="S9" s="1"/>
      <c r="T9" s="43">
        <v>260812358</v>
      </c>
      <c r="U9" s="43" t="s">
        <v>185</v>
      </c>
      <c r="V9" s="43" t="s">
        <v>168</v>
      </c>
      <c r="W9" s="1"/>
    </row>
    <row r="10" spans="1:23">
      <c r="A10" s="43" t="s">
        <v>170</v>
      </c>
      <c r="B10" s="43" t="s">
        <v>174</v>
      </c>
      <c r="C10" s="13">
        <v>36310</v>
      </c>
      <c r="D10" s="13">
        <v>36310</v>
      </c>
      <c r="E10" s="13">
        <v>36210</v>
      </c>
      <c r="F10" s="13">
        <v>36220</v>
      </c>
      <c r="G10" s="13">
        <f t="shared" si="8"/>
        <v>1435</v>
      </c>
      <c r="H10" s="42"/>
      <c r="I10" s="13" t="str">
        <f t="shared" si="9"/>
        <v/>
      </c>
      <c r="J10" s="13" t="str">
        <f t="shared" si="10"/>
        <v/>
      </c>
      <c r="K10" s="13" t="str">
        <f t="shared" si="11"/>
        <v/>
      </c>
      <c r="L10" s="13" t="str">
        <f t="shared" si="12"/>
        <v/>
      </c>
      <c r="M10" s="13"/>
      <c r="N10" s="13" t="str">
        <f t="shared" si="4"/>
        <v/>
      </c>
      <c r="O10" s="13"/>
      <c r="P10" s="13"/>
      <c r="Q10" s="13" t="str">
        <f t="shared" si="13"/>
        <v/>
      </c>
      <c r="R10" s="13" t="str">
        <f t="shared" si="14"/>
        <v/>
      </c>
      <c r="T10" s="43">
        <v>260812363</v>
      </c>
      <c r="U10" s="43" t="s">
        <v>185</v>
      </c>
      <c r="V10" s="43" t="s">
        <v>186</v>
      </c>
    </row>
    <row r="11" spans="1:23">
      <c r="A11" s="13" t="s">
        <v>170</v>
      </c>
      <c r="B11" s="13" t="s">
        <v>175</v>
      </c>
      <c r="C11" s="13">
        <v>36220</v>
      </c>
      <c r="D11" s="13">
        <v>36260</v>
      </c>
      <c r="E11" s="13">
        <v>36220</v>
      </c>
      <c r="F11" s="13">
        <v>36220</v>
      </c>
      <c r="G11" s="13">
        <f t="shared" si="8"/>
        <v>1440</v>
      </c>
      <c r="H11" s="42"/>
      <c r="I11" s="13" t="str">
        <f t="shared" si="9"/>
        <v/>
      </c>
      <c r="J11" s="13" t="str">
        <f t="shared" si="10"/>
        <v/>
      </c>
      <c r="K11" s="13" t="str">
        <f t="shared" si="11"/>
        <v/>
      </c>
      <c r="L11" s="13" t="str">
        <f t="shared" si="12"/>
        <v/>
      </c>
      <c r="M11" s="13"/>
      <c r="N11" s="13" t="str">
        <f t="shared" si="4"/>
        <v/>
      </c>
      <c r="O11" s="13"/>
      <c r="P11" s="13"/>
      <c r="Q11" s="13" t="str">
        <f t="shared" si="13"/>
        <v/>
      </c>
      <c r="R11" s="13" t="str">
        <f t="shared" si="14"/>
        <v/>
      </c>
      <c r="T11" s="43">
        <v>145890500</v>
      </c>
      <c r="U11" s="43" t="s">
        <v>187</v>
      </c>
      <c r="V11" s="43" t="s">
        <v>168</v>
      </c>
    </row>
    <row r="12" spans="1:23">
      <c r="A12" s="43" t="s">
        <v>170</v>
      </c>
      <c r="B12" s="43" t="s">
        <v>176</v>
      </c>
      <c r="C12" s="13">
        <v>36220</v>
      </c>
      <c r="D12" s="13">
        <v>36250</v>
      </c>
      <c r="E12" s="13">
        <v>36220</v>
      </c>
      <c r="F12" s="13">
        <v>36240</v>
      </c>
      <c r="G12" s="13">
        <f t="shared" si="8"/>
        <v>1445</v>
      </c>
      <c r="H12" s="42"/>
      <c r="I12" s="13" t="str">
        <f t="shared" si="9"/>
        <v/>
      </c>
      <c r="J12" s="13" t="str">
        <f t="shared" si="10"/>
        <v/>
      </c>
      <c r="K12" s="13" t="str">
        <f t="shared" si="11"/>
        <v/>
      </c>
      <c r="L12" s="13" t="str">
        <f t="shared" si="12"/>
        <v/>
      </c>
      <c r="M12" s="13"/>
      <c r="N12" s="13" t="str">
        <f t="shared" si="4"/>
        <v/>
      </c>
      <c r="O12" s="13"/>
      <c r="P12" s="13"/>
      <c r="Q12" s="13" t="str">
        <f t="shared" si="13"/>
        <v/>
      </c>
      <c r="R12" s="13" t="str">
        <f t="shared" si="14"/>
        <v/>
      </c>
      <c r="T12" s="43">
        <v>145890501</v>
      </c>
      <c r="U12" s="43" t="s">
        <v>189</v>
      </c>
      <c r="V12" s="43" t="s">
        <v>168</v>
      </c>
    </row>
    <row r="13" spans="1:23">
      <c r="A13" s="43" t="s">
        <v>170</v>
      </c>
      <c r="B13" s="43" t="s">
        <v>177</v>
      </c>
      <c r="C13" s="13">
        <v>36230</v>
      </c>
      <c r="D13" s="13">
        <v>36230</v>
      </c>
      <c r="E13" s="13">
        <v>36090</v>
      </c>
      <c r="F13" s="13">
        <v>36130</v>
      </c>
      <c r="G13" s="13">
        <f t="shared" si="8"/>
        <v>1450</v>
      </c>
      <c r="H13" s="42"/>
      <c r="I13" s="13" t="str">
        <f t="shared" si="9"/>
        <v/>
      </c>
      <c r="J13" s="13" t="str">
        <f t="shared" si="10"/>
        <v/>
      </c>
      <c r="K13" s="13" t="str">
        <f t="shared" si="11"/>
        <v/>
      </c>
      <c r="L13" s="13" t="str">
        <f t="shared" si="12"/>
        <v/>
      </c>
      <c r="M13" s="13"/>
      <c r="N13" s="13" t="str">
        <f t="shared" si="4"/>
        <v/>
      </c>
      <c r="O13" s="13"/>
      <c r="P13" s="13"/>
      <c r="Q13" s="13" t="str">
        <f t="shared" si="13"/>
        <v/>
      </c>
      <c r="R13" s="13" t="str">
        <f t="shared" si="14"/>
        <v/>
      </c>
      <c r="T13" s="43">
        <v>260813363</v>
      </c>
      <c r="U13" s="43" t="s">
        <v>190</v>
      </c>
      <c r="V13" s="43" t="s">
        <v>168</v>
      </c>
    </row>
    <row r="14" spans="1:23">
      <c r="A14" s="43" t="s">
        <v>170</v>
      </c>
      <c r="B14" s="43" t="s">
        <v>178</v>
      </c>
      <c r="C14" s="13">
        <v>36120</v>
      </c>
      <c r="D14" s="13">
        <v>36140</v>
      </c>
      <c r="E14" s="13">
        <v>36040</v>
      </c>
      <c r="F14" s="13">
        <v>36040</v>
      </c>
      <c r="G14" s="13">
        <f t="shared" ref="G14:G22" si="15">IF(ISNUMBER(F14)=FALSE,"",HOUR(B14)*100+MINUTE(B14))</f>
        <v>1455</v>
      </c>
      <c r="H14" s="42"/>
      <c r="I14" s="13" t="str">
        <f t="shared" ref="I14:I22" si="16">IF(OR(G14=1125,G14=1455),"",IF(AND(D14&gt;=H14,H14&gt;=E14,F14&gt;H14, H14&lt;&gt;"",G15&lt;&gt;""),"買",IF(AND(D14&gt;=H14,H14&gt;=E14,F14&lt;H14, H14&lt;&gt;"",G15&lt;&gt;""),"売","")))</f>
        <v/>
      </c>
      <c r="J14" s="13" t="str">
        <f t="shared" ref="J14:J22" si="17">IF(OR(I14="買",  I14="売"), F14, "")</f>
        <v/>
      </c>
      <c r="K14" s="13" t="str">
        <f t="shared" ref="K14:K22" si="18">IF(I14="買", $E$1,"")</f>
        <v/>
      </c>
      <c r="L14" s="13" t="str">
        <f t="shared" ref="L14:L22" si="19">IF(I14="売", $E$1,"")</f>
        <v/>
      </c>
      <c r="M14" s="13"/>
      <c r="N14" s="13" t="str">
        <f t="shared" si="4"/>
        <v/>
      </c>
      <c r="O14" s="13"/>
      <c r="P14" s="13"/>
      <c r="Q14" s="13" t="str">
        <f t="shared" ref="Q14:Q22" si="20">IF(AND(I14="買",P14&lt;&gt;""), P14-J14,IF(AND(I14="売",P14&lt;&gt;""), J14-P14,""))</f>
        <v/>
      </c>
      <c r="R14" s="13" t="str">
        <f t="shared" ref="R14:R22" si="21">IF(OR(Q14="",Q14=0),"",IF(Q14&gt;0,"利確",IF(Q14&lt;0,"損切","")))</f>
        <v/>
      </c>
      <c r="T14" s="43">
        <v>145891502</v>
      </c>
      <c r="U14" s="43" t="s">
        <v>193</v>
      </c>
      <c r="V14" s="43" t="s">
        <v>168</v>
      </c>
    </row>
    <row r="15" spans="1:23">
      <c r="A15" s="43" t="s">
        <v>170</v>
      </c>
      <c r="B15" s="43" t="s">
        <v>179</v>
      </c>
      <c r="C15" s="13">
        <v>36050</v>
      </c>
      <c r="D15" s="13">
        <v>36050</v>
      </c>
      <c r="E15" s="13">
        <v>36050</v>
      </c>
      <c r="F15" s="13">
        <v>36050</v>
      </c>
      <c r="G15" s="13">
        <f t="shared" si="15"/>
        <v>1500</v>
      </c>
      <c r="H15" s="42"/>
      <c r="I15" s="13" t="str">
        <f t="shared" si="16"/>
        <v/>
      </c>
      <c r="J15" s="13" t="str">
        <f t="shared" si="17"/>
        <v/>
      </c>
      <c r="K15" s="13" t="str">
        <f t="shared" si="18"/>
        <v/>
      </c>
      <c r="L15" s="13" t="str">
        <f t="shared" si="19"/>
        <v/>
      </c>
      <c r="M15" s="13"/>
      <c r="N15" s="13" t="str">
        <f t="shared" si="4"/>
        <v/>
      </c>
      <c r="O15" s="13"/>
      <c r="P15" s="13"/>
      <c r="Q15" s="13" t="str">
        <f t="shared" si="20"/>
        <v/>
      </c>
      <c r="R15" s="13" t="str">
        <f t="shared" si="21"/>
        <v/>
      </c>
      <c r="T15" s="43" t="s">
        <v>167</v>
      </c>
      <c r="U15" s="43" t="s">
        <v>167</v>
      </c>
      <c r="V15" s="43" t="s">
        <v>167</v>
      </c>
    </row>
    <row r="16" spans="1:23">
      <c r="A16" s="43" t="s">
        <v>180</v>
      </c>
      <c r="B16" s="43" t="s">
        <v>181</v>
      </c>
      <c r="C16" s="13">
        <v>35960</v>
      </c>
      <c r="D16" s="13">
        <v>35960</v>
      </c>
      <c r="E16" s="13">
        <v>35810</v>
      </c>
      <c r="F16" s="13">
        <v>35900</v>
      </c>
      <c r="G16" s="13">
        <f t="shared" si="15"/>
        <v>900</v>
      </c>
      <c r="H16" s="42">
        <v>35916.216800000002</v>
      </c>
      <c r="I16" s="13" t="str">
        <f t="shared" si="16"/>
        <v>売</v>
      </c>
      <c r="J16" s="13">
        <f t="shared" si="17"/>
        <v>35900</v>
      </c>
      <c r="K16" s="13" t="str">
        <f t="shared" si="18"/>
        <v/>
      </c>
      <c r="L16" s="13">
        <f t="shared" si="19"/>
        <v>1</v>
      </c>
      <c r="M16" s="13" t="s">
        <v>188</v>
      </c>
      <c r="N16" s="13" t="str">
        <f t="shared" si="4"/>
        <v/>
      </c>
      <c r="O16" s="13"/>
      <c r="P16" s="13">
        <v>35970</v>
      </c>
      <c r="Q16" s="13">
        <f t="shared" si="20"/>
        <v>-70</v>
      </c>
      <c r="R16" s="13" t="str">
        <f t="shared" si="21"/>
        <v>損切</v>
      </c>
      <c r="T16" s="13"/>
      <c r="U16" s="13"/>
      <c r="V16" s="13"/>
    </row>
    <row r="17" spans="1:22">
      <c r="A17" s="43" t="s">
        <v>180</v>
      </c>
      <c r="B17" s="43" t="s">
        <v>182</v>
      </c>
      <c r="C17" s="43">
        <v>35880</v>
      </c>
      <c r="D17" s="43">
        <v>35980</v>
      </c>
      <c r="E17" s="43">
        <v>35820</v>
      </c>
      <c r="F17" s="43">
        <v>35970</v>
      </c>
      <c r="G17" s="13">
        <f t="shared" si="15"/>
        <v>905</v>
      </c>
      <c r="H17" s="42">
        <v>35896.913200000003</v>
      </c>
      <c r="I17" s="13" t="str">
        <f t="shared" si="16"/>
        <v>買</v>
      </c>
      <c r="J17" s="13">
        <f t="shared" si="17"/>
        <v>35970</v>
      </c>
      <c r="K17" s="13">
        <f t="shared" si="18"/>
        <v>1</v>
      </c>
      <c r="L17" s="13" t="str">
        <f t="shared" si="19"/>
        <v/>
      </c>
      <c r="M17" s="13"/>
      <c r="N17" s="13" t="str">
        <f t="shared" si="4"/>
        <v>売</v>
      </c>
      <c r="O17" s="13">
        <v>36055</v>
      </c>
      <c r="P17" s="13"/>
      <c r="Q17" s="13" t="str">
        <f t="shared" si="20"/>
        <v/>
      </c>
      <c r="R17" s="13" t="str">
        <f t="shared" si="21"/>
        <v/>
      </c>
      <c r="T17" s="13"/>
      <c r="U17" s="13"/>
      <c r="V17" s="13"/>
    </row>
    <row r="18" spans="1:22">
      <c r="A18" s="43" t="s">
        <v>180</v>
      </c>
      <c r="B18" s="43" t="s">
        <v>184</v>
      </c>
      <c r="C18" s="43">
        <v>35960</v>
      </c>
      <c r="D18" s="43">
        <v>36040</v>
      </c>
      <c r="E18" s="43">
        <v>35950</v>
      </c>
      <c r="F18" s="43">
        <v>36040</v>
      </c>
      <c r="G18" s="13">
        <f t="shared" si="15"/>
        <v>910</v>
      </c>
      <c r="H18" s="42">
        <v>35897.942000000003</v>
      </c>
      <c r="I18" s="13" t="str">
        <f t="shared" si="16"/>
        <v/>
      </c>
      <c r="J18" s="13" t="str">
        <f t="shared" si="17"/>
        <v/>
      </c>
      <c r="K18" s="13" t="str">
        <f t="shared" si="18"/>
        <v/>
      </c>
      <c r="L18" s="13" t="str">
        <f t="shared" si="19"/>
        <v/>
      </c>
      <c r="M18" s="13"/>
      <c r="N18" s="13" t="str">
        <f t="shared" si="4"/>
        <v/>
      </c>
      <c r="O18" s="13"/>
      <c r="P18" s="13"/>
      <c r="Q18" s="13" t="str">
        <f t="shared" si="20"/>
        <v/>
      </c>
      <c r="R18" s="13" t="str">
        <f t="shared" si="21"/>
        <v/>
      </c>
      <c r="T18" s="13"/>
      <c r="U18" s="13"/>
      <c r="V18" s="13"/>
    </row>
    <row r="19" spans="1:22">
      <c r="A19" s="43" t="s">
        <v>180</v>
      </c>
      <c r="B19" s="43" t="s">
        <v>191</v>
      </c>
      <c r="C19" s="43">
        <v>36050</v>
      </c>
      <c r="D19" s="43">
        <v>36070</v>
      </c>
      <c r="E19" s="43">
        <v>36020</v>
      </c>
      <c r="F19" s="43">
        <v>36060</v>
      </c>
      <c r="G19" s="13">
        <f t="shared" si="15"/>
        <v>915</v>
      </c>
      <c r="H19" s="42">
        <v>35921.880100000002</v>
      </c>
      <c r="I19" s="13" t="str">
        <f t="shared" si="16"/>
        <v/>
      </c>
      <c r="J19" s="13" t="str">
        <f t="shared" si="17"/>
        <v/>
      </c>
      <c r="K19" s="13" t="str">
        <f t="shared" si="18"/>
        <v/>
      </c>
      <c r="L19" s="13" t="str">
        <f t="shared" si="19"/>
        <v/>
      </c>
      <c r="M19" s="13"/>
      <c r="N19" s="13" t="str">
        <f t="shared" si="4"/>
        <v/>
      </c>
      <c r="O19" s="13"/>
      <c r="P19" s="13"/>
      <c r="Q19" s="13" t="str">
        <f t="shared" si="20"/>
        <v/>
      </c>
      <c r="R19" s="13" t="str">
        <f t="shared" si="21"/>
        <v/>
      </c>
      <c r="T19" s="13"/>
      <c r="U19" s="13"/>
      <c r="V19" s="13"/>
    </row>
    <row r="20" spans="1:22">
      <c r="A20" s="43" t="s">
        <v>180</v>
      </c>
      <c r="B20" s="43" t="s">
        <v>192</v>
      </c>
      <c r="C20" s="43">
        <v>36050</v>
      </c>
      <c r="D20" s="43">
        <v>36050</v>
      </c>
      <c r="E20" s="43">
        <v>36000</v>
      </c>
      <c r="F20" s="43">
        <v>36020</v>
      </c>
      <c r="G20" s="13">
        <f t="shared" si="15"/>
        <v>920</v>
      </c>
      <c r="H20" s="42">
        <v>35939.502699999997</v>
      </c>
      <c r="I20" s="13" t="str">
        <f t="shared" si="16"/>
        <v/>
      </c>
      <c r="J20" s="13" t="str">
        <f t="shared" si="17"/>
        <v/>
      </c>
      <c r="K20" s="13" t="str">
        <f t="shared" si="18"/>
        <v/>
      </c>
      <c r="L20" s="13" t="str">
        <f t="shared" si="19"/>
        <v/>
      </c>
      <c r="M20" s="13"/>
      <c r="N20" s="13" t="str">
        <f t="shared" si="4"/>
        <v/>
      </c>
      <c r="O20" s="13"/>
      <c r="P20" s="13"/>
      <c r="Q20" s="13" t="str">
        <f t="shared" si="20"/>
        <v/>
      </c>
      <c r="R20" s="13" t="str">
        <f t="shared" si="21"/>
        <v/>
      </c>
      <c r="T20" s="13"/>
      <c r="U20" s="13"/>
      <c r="V20" s="13"/>
    </row>
    <row r="21" spans="1:22">
      <c r="A21" s="43" t="s">
        <v>180</v>
      </c>
      <c r="B21" s="43" t="s">
        <v>194</v>
      </c>
      <c r="C21" s="43">
        <v>36010</v>
      </c>
      <c r="D21" s="43">
        <v>36010</v>
      </c>
      <c r="E21" s="43">
        <v>36010</v>
      </c>
      <c r="F21" s="43">
        <v>36010</v>
      </c>
      <c r="G21" s="13">
        <f t="shared" si="15"/>
        <v>925</v>
      </c>
      <c r="H21" s="42">
        <v>35948.352400000003</v>
      </c>
      <c r="I21" s="13" t="str">
        <f t="shared" si="16"/>
        <v/>
      </c>
      <c r="J21" s="13" t="str">
        <f t="shared" si="17"/>
        <v/>
      </c>
      <c r="K21" s="13" t="str">
        <f t="shared" si="18"/>
        <v/>
      </c>
      <c r="L21" s="13" t="str">
        <f t="shared" si="19"/>
        <v/>
      </c>
      <c r="M21" s="13"/>
      <c r="N21" s="13" t="str">
        <f t="shared" si="4"/>
        <v/>
      </c>
      <c r="O21" s="13"/>
      <c r="P21" s="13"/>
      <c r="Q21" s="13" t="str">
        <f t="shared" si="20"/>
        <v/>
      </c>
      <c r="R21" s="13" t="str">
        <f t="shared" si="21"/>
        <v/>
      </c>
      <c r="T21" s="13"/>
      <c r="U21" s="13"/>
      <c r="V21" s="13"/>
    </row>
    <row r="22" spans="1:22">
      <c r="A22" s="43" t="s">
        <v>167</v>
      </c>
      <c r="B22" s="43" t="s">
        <v>167</v>
      </c>
      <c r="C22" s="43" t="s">
        <v>167</v>
      </c>
      <c r="D22" s="43" t="s">
        <v>167</v>
      </c>
      <c r="E22" s="43" t="s">
        <v>167</v>
      </c>
      <c r="F22" s="43" t="s">
        <v>167</v>
      </c>
      <c r="G22" s="13" t="str">
        <f t="shared" si="15"/>
        <v/>
      </c>
      <c r="H22" s="42"/>
      <c r="I22" s="13" t="str">
        <f t="shared" si="16"/>
        <v/>
      </c>
      <c r="J22" s="13" t="str">
        <f t="shared" si="17"/>
        <v/>
      </c>
      <c r="K22" s="13" t="str">
        <f t="shared" si="18"/>
        <v/>
      </c>
      <c r="L22" s="13" t="str">
        <f t="shared" si="19"/>
        <v/>
      </c>
      <c r="M22" s="13"/>
      <c r="N22" s="13" t="str">
        <f t="shared" si="4"/>
        <v/>
      </c>
      <c r="O22" s="13"/>
      <c r="P22" s="13"/>
      <c r="Q22" s="13" t="str">
        <f t="shared" si="20"/>
        <v/>
      </c>
      <c r="R22" s="13" t="str">
        <f t="shared" si="21"/>
        <v/>
      </c>
      <c r="T22" s="13"/>
      <c r="U22" s="13"/>
      <c r="V22" s="13"/>
    </row>
    <row r="23" spans="1:22">
      <c r="A23" s="13"/>
      <c r="B23" s="13"/>
      <c r="C23" s="13"/>
      <c r="D23" s="13"/>
      <c r="E23" s="13"/>
      <c r="F23" s="13"/>
      <c r="G23" s="13" t="str">
        <f t="shared" si="8"/>
        <v/>
      </c>
      <c r="H23" s="42"/>
      <c r="I23" s="13" t="str">
        <f t="shared" si="9"/>
        <v/>
      </c>
      <c r="J23" s="13" t="str">
        <f t="shared" si="10"/>
        <v/>
      </c>
      <c r="K23" s="13" t="str">
        <f t="shared" si="11"/>
        <v/>
      </c>
      <c r="L23" s="13" t="str">
        <f t="shared" si="12"/>
        <v/>
      </c>
      <c r="M23" s="13"/>
      <c r="N23" s="13" t="str">
        <f t="shared" ref="N23:N79" si="22">IF(OR(E26="",O23="",M23&lt;&gt;""), "",IF(AND(I23="買",E26&lt;O23),"売",IF(AND(I23="売",D26&gt;O23),"買","")))</f>
        <v/>
      </c>
      <c r="O23" s="13"/>
      <c r="P23" s="13"/>
      <c r="Q23" s="13" t="str">
        <f t="shared" si="13"/>
        <v/>
      </c>
      <c r="R23" s="13" t="str">
        <f t="shared" si="14"/>
        <v/>
      </c>
      <c r="T23" s="13"/>
      <c r="U23" s="13"/>
      <c r="V23" s="13"/>
    </row>
    <row r="24" spans="1:22">
      <c r="A24" s="13"/>
      <c r="B24" s="13"/>
      <c r="C24" s="13"/>
      <c r="D24" s="13"/>
      <c r="E24" s="13"/>
      <c r="F24" s="13"/>
      <c r="G24" s="13" t="str">
        <f t="shared" si="8"/>
        <v/>
      </c>
      <c r="H24" s="42"/>
      <c r="I24" s="13" t="str">
        <f t="shared" si="9"/>
        <v/>
      </c>
      <c r="J24" s="13" t="str">
        <f t="shared" si="10"/>
        <v/>
      </c>
      <c r="K24" s="13" t="str">
        <f t="shared" si="11"/>
        <v/>
      </c>
      <c r="L24" s="13" t="str">
        <f t="shared" si="12"/>
        <v/>
      </c>
      <c r="M24" s="13"/>
      <c r="N24" s="13" t="str">
        <f t="shared" si="22"/>
        <v/>
      </c>
      <c r="O24" s="13"/>
      <c r="P24" s="13"/>
      <c r="Q24" s="13" t="str">
        <f t="shared" si="13"/>
        <v/>
      </c>
      <c r="R24" s="13" t="str">
        <f t="shared" si="14"/>
        <v/>
      </c>
      <c r="T24" s="13"/>
      <c r="U24" s="13"/>
      <c r="V24" s="13"/>
    </row>
    <row r="25" spans="1:22">
      <c r="A25" s="13"/>
      <c r="B25" s="13"/>
      <c r="C25" s="13"/>
      <c r="D25" s="13"/>
      <c r="E25" s="13"/>
      <c r="F25" s="13"/>
      <c r="G25" s="13" t="str">
        <f t="shared" si="8"/>
        <v/>
      </c>
      <c r="H25" s="42"/>
      <c r="I25" s="13" t="str">
        <f t="shared" si="9"/>
        <v/>
      </c>
      <c r="J25" s="13" t="str">
        <f t="shared" si="10"/>
        <v/>
      </c>
      <c r="K25" s="13" t="str">
        <f t="shared" si="11"/>
        <v/>
      </c>
      <c r="L25" s="13" t="str">
        <f t="shared" si="12"/>
        <v/>
      </c>
      <c r="M25" s="13"/>
      <c r="N25" s="13" t="str">
        <f t="shared" si="22"/>
        <v/>
      </c>
      <c r="O25" s="13"/>
      <c r="P25" s="13"/>
      <c r="Q25" s="13" t="str">
        <f t="shared" si="13"/>
        <v/>
      </c>
      <c r="R25" s="13" t="str">
        <f t="shared" si="14"/>
        <v/>
      </c>
      <c r="T25" s="13"/>
      <c r="U25" s="13"/>
      <c r="V25" s="13"/>
    </row>
    <row r="26" spans="1:22">
      <c r="A26" s="13"/>
      <c r="B26" s="13"/>
      <c r="C26" s="13"/>
      <c r="D26" s="13"/>
      <c r="E26" s="13"/>
      <c r="F26" s="13"/>
      <c r="G26" s="13" t="str">
        <f t="shared" si="8"/>
        <v/>
      </c>
      <c r="H26" s="42"/>
      <c r="I26" s="13" t="str">
        <f t="shared" si="9"/>
        <v/>
      </c>
      <c r="J26" s="13" t="str">
        <f t="shared" si="10"/>
        <v/>
      </c>
      <c r="K26" s="13" t="str">
        <f t="shared" si="11"/>
        <v/>
      </c>
      <c r="L26" s="13" t="str">
        <f t="shared" si="12"/>
        <v/>
      </c>
      <c r="M26" s="13"/>
      <c r="N26" s="13" t="str">
        <f t="shared" si="22"/>
        <v/>
      </c>
      <c r="O26" s="13"/>
      <c r="P26" s="13"/>
      <c r="Q26" s="13" t="str">
        <f t="shared" si="13"/>
        <v/>
      </c>
      <c r="R26" s="13" t="str">
        <f t="shared" si="14"/>
        <v/>
      </c>
      <c r="T26" s="13"/>
      <c r="U26" s="13"/>
      <c r="V26" s="13"/>
    </row>
    <row r="27" spans="1:22">
      <c r="A27" s="13"/>
      <c r="B27" s="13"/>
      <c r="C27" s="13"/>
      <c r="D27" s="13"/>
      <c r="E27" s="13"/>
      <c r="F27" s="13"/>
      <c r="G27" s="13" t="str">
        <f t="shared" si="8"/>
        <v/>
      </c>
      <c r="H27" s="42"/>
      <c r="I27" s="13" t="str">
        <f t="shared" si="9"/>
        <v/>
      </c>
      <c r="J27" s="13" t="str">
        <f t="shared" si="10"/>
        <v/>
      </c>
      <c r="K27" s="13" t="str">
        <f t="shared" si="11"/>
        <v/>
      </c>
      <c r="L27" s="13" t="str">
        <f t="shared" si="12"/>
        <v/>
      </c>
      <c r="M27" s="13"/>
      <c r="N27" s="13" t="str">
        <f t="shared" si="22"/>
        <v/>
      </c>
      <c r="O27" s="13"/>
      <c r="P27" s="13"/>
      <c r="Q27" s="13" t="str">
        <f t="shared" si="13"/>
        <v/>
      </c>
      <c r="R27" s="13" t="str">
        <f t="shared" si="14"/>
        <v/>
      </c>
      <c r="T27" s="13"/>
      <c r="U27" s="13"/>
      <c r="V27" s="13"/>
    </row>
    <row r="28" spans="1:22">
      <c r="A28" s="13"/>
      <c r="B28" s="13"/>
      <c r="C28" s="13"/>
      <c r="D28" s="13"/>
      <c r="E28" s="13"/>
      <c r="F28" s="13"/>
      <c r="G28" s="13" t="str">
        <f t="shared" si="8"/>
        <v/>
      </c>
      <c r="H28" s="42"/>
      <c r="I28" s="13" t="str">
        <f t="shared" si="9"/>
        <v/>
      </c>
      <c r="J28" s="13" t="str">
        <f t="shared" si="10"/>
        <v/>
      </c>
      <c r="K28" s="13" t="str">
        <f t="shared" si="11"/>
        <v/>
      </c>
      <c r="L28" s="13" t="str">
        <f t="shared" si="12"/>
        <v/>
      </c>
      <c r="M28" s="13"/>
      <c r="N28" s="13" t="str">
        <f t="shared" si="22"/>
        <v/>
      </c>
      <c r="O28" s="13"/>
      <c r="P28" s="13"/>
      <c r="Q28" s="13" t="str">
        <f t="shared" si="13"/>
        <v/>
      </c>
      <c r="R28" s="13" t="str">
        <f t="shared" si="14"/>
        <v/>
      </c>
      <c r="T28" s="13"/>
      <c r="U28" s="13"/>
      <c r="V28" s="13"/>
    </row>
    <row r="29" spans="1:22">
      <c r="A29" s="13"/>
      <c r="B29" s="13"/>
      <c r="C29" s="13"/>
      <c r="D29" s="13"/>
      <c r="E29" s="13"/>
      <c r="F29" s="13"/>
      <c r="G29" s="13" t="str">
        <f t="shared" si="8"/>
        <v/>
      </c>
      <c r="H29" s="42"/>
      <c r="I29" s="13" t="str">
        <f t="shared" si="9"/>
        <v/>
      </c>
      <c r="J29" s="13" t="str">
        <f t="shared" si="10"/>
        <v/>
      </c>
      <c r="K29" s="13" t="str">
        <f t="shared" si="11"/>
        <v/>
      </c>
      <c r="L29" s="13" t="str">
        <f t="shared" si="12"/>
        <v/>
      </c>
      <c r="M29" s="13"/>
      <c r="N29" s="13" t="str">
        <f t="shared" si="22"/>
        <v/>
      </c>
      <c r="O29" s="13"/>
      <c r="P29" s="13"/>
      <c r="Q29" s="13" t="str">
        <f t="shared" si="13"/>
        <v/>
      </c>
      <c r="R29" s="13" t="str">
        <f t="shared" si="14"/>
        <v/>
      </c>
      <c r="T29" s="13"/>
      <c r="U29" s="13"/>
      <c r="V29" s="13"/>
    </row>
    <row r="30" spans="1:22">
      <c r="A30" s="13"/>
      <c r="B30" s="13"/>
      <c r="C30" s="13"/>
      <c r="D30" s="13"/>
      <c r="E30" s="13"/>
      <c r="F30" s="13"/>
      <c r="G30" s="13" t="str">
        <f t="shared" si="8"/>
        <v/>
      </c>
      <c r="H30" s="42"/>
      <c r="I30" s="13" t="str">
        <f t="shared" si="9"/>
        <v/>
      </c>
      <c r="J30" s="13" t="str">
        <f t="shared" si="10"/>
        <v/>
      </c>
      <c r="K30" s="13" t="str">
        <f t="shared" si="11"/>
        <v/>
      </c>
      <c r="L30" s="13" t="str">
        <f t="shared" si="12"/>
        <v/>
      </c>
      <c r="M30" s="13"/>
      <c r="N30" s="13" t="str">
        <f t="shared" si="22"/>
        <v/>
      </c>
      <c r="O30" s="13"/>
      <c r="P30" s="13"/>
      <c r="Q30" s="13" t="str">
        <f t="shared" si="13"/>
        <v/>
      </c>
      <c r="R30" s="13" t="str">
        <f t="shared" si="14"/>
        <v/>
      </c>
      <c r="T30" s="13"/>
      <c r="U30" s="13"/>
      <c r="V30" s="13"/>
    </row>
    <row r="31" spans="1:22">
      <c r="A31" s="13"/>
      <c r="B31" s="13"/>
      <c r="C31" s="13"/>
      <c r="D31" s="13"/>
      <c r="E31" s="13"/>
      <c r="F31" s="13"/>
      <c r="G31" s="13" t="str">
        <f t="shared" si="8"/>
        <v/>
      </c>
      <c r="H31" s="42"/>
      <c r="I31" s="13" t="str">
        <f t="shared" si="9"/>
        <v/>
      </c>
      <c r="J31" s="13" t="str">
        <f t="shared" si="10"/>
        <v/>
      </c>
      <c r="K31" s="13" t="str">
        <f t="shared" si="11"/>
        <v/>
      </c>
      <c r="L31" s="13" t="str">
        <f t="shared" si="12"/>
        <v/>
      </c>
      <c r="M31" s="13"/>
      <c r="N31" s="13" t="str">
        <f t="shared" si="22"/>
        <v/>
      </c>
      <c r="O31" s="13"/>
      <c r="P31" s="13"/>
      <c r="Q31" s="13" t="str">
        <f t="shared" si="13"/>
        <v/>
      </c>
      <c r="R31" s="13" t="str">
        <f t="shared" si="14"/>
        <v/>
      </c>
      <c r="T31" s="13"/>
      <c r="U31" s="13"/>
      <c r="V31" s="13"/>
    </row>
    <row r="32" spans="1:22">
      <c r="A32" s="13"/>
      <c r="B32" s="13"/>
      <c r="C32" s="13"/>
      <c r="D32" s="13"/>
      <c r="E32" s="13"/>
      <c r="F32" s="13"/>
      <c r="G32" s="13" t="str">
        <f t="shared" si="8"/>
        <v/>
      </c>
      <c r="H32" s="42"/>
      <c r="I32" s="13" t="str">
        <f t="shared" si="9"/>
        <v/>
      </c>
      <c r="J32" s="13" t="str">
        <f t="shared" si="10"/>
        <v/>
      </c>
      <c r="K32" s="13" t="str">
        <f t="shared" si="11"/>
        <v/>
      </c>
      <c r="L32" s="13" t="str">
        <f t="shared" si="12"/>
        <v/>
      </c>
      <c r="M32" s="13"/>
      <c r="N32" s="13" t="str">
        <f t="shared" si="22"/>
        <v/>
      </c>
      <c r="O32" s="13"/>
      <c r="P32" s="13"/>
      <c r="Q32" s="13" t="str">
        <f t="shared" si="13"/>
        <v/>
      </c>
      <c r="R32" s="13" t="str">
        <f t="shared" si="14"/>
        <v/>
      </c>
      <c r="T32" s="13"/>
      <c r="U32" s="13"/>
      <c r="V32" s="13"/>
    </row>
    <row r="33" spans="1:22">
      <c r="A33" s="13"/>
      <c r="B33" s="13"/>
      <c r="C33" s="13"/>
      <c r="D33" s="13"/>
      <c r="E33" s="13"/>
      <c r="F33" s="13"/>
      <c r="G33" s="13" t="str">
        <f t="shared" si="8"/>
        <v/>
      </c>
      <c r="H33" s="42"/>
      <c r="I33" s="13" t="str">
        <f t="shared" si="9"/>
        <v/>
      </c>
      <c r="J33" s="13" t="str">
        <f t="shared" si="10"/>
        <v/>
      </c>
      <c r="K33" s="13" t="str">
        <f t="shared" si="11"/>
        <v/>
      </c>
      <c r="L33" s="13" t="str">
        <f t="shared" si="12"/>
        <v/>
      </c>
      <c r="M33" s="13"/>
      <c r="N33" s="13" t="str">
        <f t="shared" si="22"/>
        <v/>
      </c>
      <c r="O33" s="13"/>
      <c r="P33" s="13"/>
      <c r="Q33" s="13" t="str">
        <f t="shared" si="13"/>
        <v/>
      </c>
      <c r="R33" s="13" t="str">
        <f t="shared" si="14"/>
        <v/>
      </c>
      <c r="T33" s="13"/>
      <c r="U33" s="13"/>
      <c r="V33" s="13"/>
    </row>
    <row r="34" spans="1:22">
      <c r="A34" s="13"/>
      <c r="B34" s="13"/>
      <c r="C34" s="13"/>
      <c r="D34" s="13"/>
      <c r="E34" s="13"/>
      <c r="F34" s="13"/>
      <c r="G34" s="13" t="str">
        <f t="shared" si="8"/>
        <v/>
      </c>
      <c r="H34" s="42"/>
      <c r="I34" s="13" t="str">
        <f t="shared" si="9"/>
        <v/>
      </c>
      <c r="J34" s="13" t="str">
        <f t="shared" si="10"/>
        <v/>
      </c>
      <c r="K34" s="13" t="str">
        <f t="shared" si="11"/>
        <v/>
      </c>
      <c r="L34" s="13" t="str">
        <f t="shared" si="12"/>
        <v/>
      </c>
      <c r="M34" s="13"/>
      <c r="N34" s="13" t="str">
        <f t="shared" si="22"/>
        <v/>
      </c>
      <c r="O34" s="13"/>
      <c r="P34" s="13"/>
      <c r="Q34" s="13" t="str">
        <f t="shared" si="13"/>
        <v/>
      </c>
      <c r="R34" s="13" t="str">
        <f t="shared" si="14"/>
        <v/>
      </c>
      <c r="T34" s="13"/>
      <c r="U34" s="13"/>
      <c r="V34" s="13"/>
    </row>
    <row r="35" spans="1:22">
      <c r="A35" s="13"/>
      <c r="B35" s="13"/>
      <c r="C35" s="13"/>
      <c r="D35" s="13"/>
      <c r="E35" s="13"/>
      <c r="F35" s="13"/>
      <c r="G35" s="13" t="str">
        <f t="shared" si="8"/>
        <v/>
      </c>
      <c r="H35" s="42"/>
      <c r="I35" s="13" t="str">
        <f t="shared" si="9"/>
        <v/>
      </c>
      <c r="J35" s="13" t="str">
        <f t="shared" si="10"/>
        <v/>
      </c>
      <c r="K35" s="13" t="str">
        <f t="shared" si="11"/>
        <v/>
      </c>
      <c r="L35" s="13" t="str">
        <f t="shared" si="12"/>
        <v/>
      </c>
      <c r="M35" s="13"/>
      <c r="N35" s="13" t="str">
        <f t="shared" si="22"/>
        <v/>
      </c>
      <c r="O35" s="13"/>
      <c r="P35" s="13"/>
      <c r="Q35" s="13" t="str">
        <f t="shared" si="13"/>
        <v/>
      </c>
      <c r="R35" s="13" t="str">
        <f t="shared" si="14"/>
        <v/>
      </c>
      <c r="T35" s="13"/>
      <c r="U35" s="13"/>
      <c r="V35" s="13"/>
    </row>
    <row r="36" spans="1:22">
      <c r="A36" s="13"/>
      <c r="B36" s="13"/>
      <c r="C36" s="13"/>
      <c r="D36" s="13"/>
      <c r="E36" s="13"/>
      <c r="F36" s="13"/>
      <c r="G36" s="13" t="str">
        <f t="shared" si="8"/>
        <v/>
      </c>
      <c r="H36" s="42"/>
      <c r="I36" s="13" t="str">
        <f t="shared" si="9"/>
        <v/>
      </c>
      <c r="J36" s="13" t="str">
        <f t="shared" si="10"/>
        <v/>
      </c>
      <c r="K36" s="13" t="str">
        <f t="shared" si="11"/>
        <v/>
      </c>
      <c r="L36" s="13" t="str">
        <f t="shared" si="12"/>
        <v/>
      </c>
      <c r="M36" s="13"/>
      <c r="N36" s="13" t="str">
        <f t="shared" si="22"/>
        <v/>
      </c>
      <c r="O36" s="13"/>
      <c r="P36" s="13"/>
      <c r="Q36" s="13" t="str">
        <f t="shared" si="13"/>
        <v/>
      </c>
      <c r="R36" s="13" t="str">
        <f t="shared" si="14"/>
        <v/>
      </c>
      <c r="T36" s="13"/>
      <c r="U36" s="13"/>
      <c r="V36" s="13"/>
    </row>
    <row r="37" spans="1:22">
      <c r="A37" s="13"/>
      <c r="B37" s="13"/>
      <c r="C37" s="13"/>
      <c r="D37" s="13"/>
      <c r="E37" s="13"/>
      <c r="F37" s="13"/>
      <c r="G37" s="13" t="str">
        <f t="shared" si="8"/>
        <v/>
      </c>
      <c r="H37" s="42"/>
      <c r="I37" s="13" t="str">
        <f t="shared" si="9"/>
        <v/>
      </c>
      <c r="J37" s="13" t="str">
        <f t="shared" si="10"/>
        <v/>
      </c>
      <c r="K37" s="13" t="str">
        <f t="shared" si="11"/>
        <v/>
      </c>
      <c r="L37" s="13" t="str">
        <f t="shared" si="12"/>
        <v/>
      </c>
      <c r="M37" s="13"/>
      <c r="N37" s="13" t="str">
        <f t="shared" si="22"/>
        <v/>
      </c>
      <c r="O37" s="13"/>
      <c r="P37" s="13"/>
      <c r="Q37" s="13" t="str">
        <f t="shared" si="13"/>
        <v/>
      </c>
      <c r="R37" s="13" t="str">
        <f t="shared" si="14"/>
        <v/>
      </c>
      <c r="T37" s="13"/>
      <c r="U37" s="13"/>
      <c r="V37" s="13"/>
    </row>
    <row r="38" spans="1:22">
      <c r="A38" s="13"/>
      <c r="B38" s="13"/>
      <c r="C38" s="13"/>
      <c r="D38" s="13"/>
      <c r="E38" s="13"/>
      <c r="F38" s="13"/>
      <c r="G38" s="13" t="str">
        <f t="shared" si="8"/>
        <v/>
      </c>
      <c r="H38" s="42"/>
      <c r="I38" s="13" t="str">
        <f t="shared" si="9"/>
        <v/>
      </c>
      <c r="J38" s="13" t="str">
        <f t="shared" si="10"/>
        <v/>
      </c>
      <c r="K38" s="13" t="str">
        <f t="shared" si="11"/>
        <v/>
      </c>
      <c r="L38" s="13" t="str">
        <f t="shared" si="12"/>
        <v/>
      </c>
      <c r="M38" s="13"/>
      <c r="N38" s="13" t="str">
        <f t="shared" si="22"/>
        <v/>
      </c>
      <c r="O38" s="13"/>
      <c r="P38" s="13"/>
      <c r="Q38" s="13" t="str">
        <f t="shared" si="13"/>
        <v/>
      </c>
      <c r="R38" s="13" t="str">
        <f t="shared" si="14"/>
        <v/>
      </c>
      <c r="T38" s="13"/>
      <c r="U38" s="13"/>
      <c r="V38" s="13"/>
    </row>
    <row r="39" spans="1:22">
      <c r="A39" s="13"/>
      <c r="B39" s="13"/>
      <c r="C39" s="13"/>
      <c r="D39" s="13"/>
      <c r="E39" s="13"/>
      <c r="F39" s="13"/>
      <c r="G39" s="13" t="str">
        <f t="shared" si="8"/>
        <v/>
      </c>
      <c r="H39" s="42"/>
      <c r="I39" s="13" t="str">
        <f t="shared" si="9"/>
        <v/>
      </c>
      <c r="J39" s="13" t="str">
        <f t="shared" si="10"/>
        <v/>
      </c>
      <c r="K39" s="13" t="str">
        <f t="shared" si="11"/>
        <v/>
      </c>
      <c r="L39" s="13" t="str">
        <f t="shared" si="12"/>
        <v/>
      </c>
      <c r="M39" s="13"/>
      <c r="N39" s="13" t="str">
        <f t="shared" si="22"/>
        <v/>
      </c>
      <c r="O39" s="13"/>
      <c r="P39" s="13"/>
      <c r="Q39" s="13" t="str">
        <f t="shared" si="13"/>
        <v/>
      </c>
      <c r="R39" s="13" t="str">
        <f t="shared" si="14"/>
        <v/>
      </c>
      <c r="T39" s="13"/>
      <c r="U39" s="13"/>
      <c r="V39" s="13"/>
    </row>
    <row r="40" spans="1:22">
      <c r="A40" s="13"/>
      <c r="B40" s="13"/>
      <c r="C40" s="13"/>
      <c r="D40" s="13"/>
      <c r="E40" s="13"/>
      <c r="F40" s="13"/>
      <c r="G40" s="13" t="str">
        <f t="shared" si="8"/>
        <v/>
      </c>
      <c r="H40" s="42"/>
      <c r="I40" s="13" t="str">
        <f t="shared" si="9"/>
        <v/>
      </c>
      <c r="J40" s="13" t="str">
        <f t="shared" si="10"/>
        <v/>
      </c>
      <c r="K40" s="13" t="str">
        <f t="shared" si="11"/>
        <v/>
      </c>
      <c r="L40" s="13" t="str">
        <f t="shared" si="12"/>
        <v/>
      </c>
      <c r="M40" s="13"/>
      <c r="N40" s="13" t="str">
        <f t="shared" si="22"/>
        <v/>
      </c>
      <c r="O40" s="13"/>
      <c r="P40" s="13"/>
      <c r="Q40" s="13" t="str">
        <f t="shared" si="13"/>
        <v/>
      </c>
      <c r="R40" s="13" t="str">
        <f t="shared" si="14"/>
        <v/>
      </c>
      <c r="T40" s="13"/>
      <c r="U40" s="13"/>
      <c r="V40" s="13"/>
    </row>
    <row r="41" spans="1:22">
      <c r="A41" s="13"/>
      <c r="B41" s="13"/>
      <c r="C41" s="13"/>
      <c r="D41" s="13"/>
      <c r="E41" s="13"/>
      <c r="F41" s="13"/>
      <c r="G41" s="13" t="str">
        <f t="shared" si="8"/>
        <v/>
      </c>
      <c r="H41" s="42"/>
      <c r="I41" s="13" t="str">
        <f t="shared" si="9"/>
        <v/>
      </c>
      <c r="J41" s="13" t="str">
        <f t="shared" si="10"/>
        <v/>
      </c>
      <c r="K41" s="13" t="str">
        <f t="shared" si="11"/>
        <v/>
      </c>
      <c r="L41" s="13" t="str">
        <f t="shared" si="12"/>
        <v/>
      </c>
      <c r="M41" s="13"/>
      <c r="N41" s="13" t="str">
        <f t="shared" si="22"/>
        <v/>
      </c>
      <c r="O41" s="13"/>
      <c r="P41" s="13"/>
      <c r="Q41" s="13" t="str">
        <f t="shared" si="13"/>
        <v/>
      </c>
      <c r="R41" s="13" t="str">
        <f t="shared" si="14"/>
        <v/>
      </c>
      <c r="T41" s="13"/>
      <c r="U41" s="13"/>
      <c r="V41" s="13"/>
    </row>
    <row r="42" spans="1:22">
      <c r="A42" s="13"/>
      <c r="B42" s="13"/>
      <c r="C42" s="13"/>
      <c r="D42" s="13"/>
      <c r="E42" s="13"/>
      <c r="F42" s="13"/>
      <c r="G42" s="13" t="str">
        <f t="shared" si="8"/>
        <v/>
      </c>
      <c r="H42" s="42"/>
      <c r="I42" s="13" t="str">
        <f t="shared" si="9"/>
        <v/>
      </c>
      <c r="J42" s="13" t="str">
        <f t="shared" si="10"/>
        <v/>
      </c>
      <c r="K42" s="13" t="str">
        <f t="shared" si="11"/>
        <v/>
      </c>
      <c r="L42" s="13" t="str">
        <f t="shared" si="12"/>
        <v/>
      </c>
      <c r="M42" s="13"/>
      <c r="N42" s="13" t="str">
        <f t="shared" si="22"/>
        <v/>
      </c>
      <c r="O42" s="13"/>
      <c r="P42" s="13"/>
      <c r="Q42" s="13" t="str">
        <f t="shared" si="13"/>
        <v/>
      </c>
      <c r="R42" s="13" t="str">
        <f t="shared" si="14"/>
        <v/>
      </c>
      <c r="T42" s="13"/>
      <c r="U42" s="13"/>
      <c r="V42" s="13"/>
    </row>
    <row r="43" spans="1:22">
      <c r="A43" s="13"/>
      <c r="B43" s="13"/>
      <c r="C43" s="13"/>
      <c r="D43" s="13"/>
      <c r="E43" s="13"/>
      <c r="F43" s="13"/>
      <c r="G43" s="13" t="str">
        <f t="shared" si="8"/>
        <v/>
      </c>
      <c r="H43" s="42"/>
      <c r="I43" s="13" t="str">
        <f t="shared" si="9"/>
        <v/>
      </c>
      <c r="J43" s="13" t="str">
        <f t="shared" si="10"/>
        <v/>
      </c>
      <c r="K43" s="13" t="str">
        <f t="shared" si="11"/>
        <v/>
      </c>
      <c r="L43" s="13" t="str">
        <f t="shared" si="12"/>
        <v/>
      </c>
      <c r="M43" s="13"/>
      <c r="N43" s="13" t="str">
        <f t="shared" si="22"/>
        <v/>
      </c>
      <c r="O43" s="13"/>
      <c r="P43" s="13"/>
      <c r="Q43" s="13" t="str">
        <f t="shared" si="13"/>
        <v/>
      </c>
      <c r="R43" s="13" t="str">
        <f t="shared" si="14"/>
        <v/>
      </c>
      <c r="T43" s="13"/>
      <c r="U43" s="13"/>
      <c r="V43" s="13"/>
    </row>
    <row r="44" spans="1:22">
      <c r="A44" s="13"/>
      <c r="B44" s="13"/>
      <c r="C44" s="13"/>
      <c r="D44" s="13"/>
      <c r="E44" s="13"/>
      <c r="F44" s="13"/>
      <c r="G44" s="13" t="str">
        <f t="shared" si="8"/>
        <v/>
      </c>
      <c r="H44" s="42"/>
      <c r="I44" s="13" t="str">
        <f t="shared" si="9"/>
        <v/>
      </c>
      <c r="J44" s="13" t="str">
        <f t="shared" si="10"/>
        <v/>
      </c>
      <c r="K44" s="13" t="str">
        <f t="shared" si="11"/>
        <v/>
      </c>
      <c r="L44" s="13" t="str">
        <f t="shared" si="12"/>
        <v/>
      </c>
      <c r="M44" s="13"/>
      <c r="N44" s="13" t="str">
        <f t="shared" si="22"/>
        <v/>
      </c>
      <c r="O44" s="13"/>
      <c r="P44" s="13"/>
      <c r="Q44" s="13" t="str">
        <f t="shared" si="13"/>
        <v/>
      </c>
      <c r="R44" s="13" t="str">
        <f t="shared" si="14"/>
        <v/>
      </c>
      <c r="T44" s="13"/>
      <c r="U44" s="13"/>
      <c r="V44" s="13"/>
    </row>
    <row r="45" spans="1:22">
      <c r="A45" s="13"/>
      <c r="B45" s="13"/>
      <c r="C45" s="13"/>
      <c r="D45" s="13"/>
      <c r="E45" s="13"/>
      <c r="F45" s="13"/>
      <c r="G45" s="13" t="str">
        <f t="shared" si="8"/>
        <v/>
      </c>
      <c r="H45" s="42"/>
      <c r="I45" s="13" t="str">
        <f t="shared" si="9"/>
        <v/>
      </c>
      <c r="J45" s="13" t="str">
        <f t="shared" si="10"/>
        <v/>
      </c>
      <c r="K45" s="13" t="str">
        <f t="shared" si="11"/>
        <v/>
      </c>
      <c r="L45" s="13" t="str">
        <f t="shared" si="12"/>
        <v/>
      </c>
      <c r="M45" s="13"/>
      <c r="N45" s="13" t="str">
        <f t="shared" si="22"/>
        <v/>
      </c>
      <c r="O45" s="13"/>
      <c r="P45" s="13"/>
      <c r="Q45" s="13" t="str">
        <f t="shared" si="13"/>
        <v/>
      </c>
      <c r="R45" s="13" t="str">
        <f t="shared" si="14"/>
        <v/>
      </c>
      <c r="T45" s="13"/>
      <c r="U45" s="13"/>
      <c r="V45" s="13"/>
    </row>
    <row r="46" spans="1:22">
      <c r="A46" s="13"/>
      <c r="B46" s="13"/>
      <c r="C46" s="13"/>
      <c r="D46" s="13"/>
      <c r="E46" s="13"/>
      <c r="F46" s="13"/>
      <c r="G46" s="13" t="str">
        <f t="shared" si="8"/>
        <v/>
      </c>
      <c r="H46" s="42"/>
      <c r="I46" s="13" t="str">
        <f t="shared" si="9"/>
        <v/>
      </c>
      <c r="J46" s="13" t="str">
        <f t="shared" si="10"/>
        <v/>
      </c>
      <c r="K46" s="13" t="str">
        <f t="shared" si="11"/>
        <v/>
      </c>
      <c r="L46" s="13" t="str">
        <f t="shared" si="12"/>
        <v/>
      </c>
      <c r="M46" s="13"/>
      <c r="N46" s="13" t="str">
        <f t="shared" si="22"/>
        <v/>
      </c>
      <c r="O46" s="13"/>
      <c r="P46" s="13"/>
      <c r="Q46" s="13" t="str">
        <f t="shared" si="13"/>
        <v/>
      </c>
      <c r="R46" s="13" t="str">
        <f t="shared" si="14"/>
        <v/>
      </c>
      <c r="T46" s="13"/>
      <c r="U46" s="13"/>
      <c r="V46" s="13"/>
    </row>
    <row r="47" spans="1:22">
      <c r="A47" s="13"/>
      <c r="B47" s="13"/>
      <c r="C47" s="13"/>
      <c r="D47" s="13"/>
      <c r="E47" s="13"/>
      <c r="F47" s="13"/>
      <c r="G47" s="13" t="str">
        <f t="shared" si="8"/>
        <v/>
      </c>
      <c r="H47" s="42"/>
      <c r="I47" s="13" t="str">
        <f t="shared" si="9"/>
        <v/>
      </c>
      <c r="J47" s="13" t="str">
        <f t="shared" si="10"/>
        <v/>
      </c>
      <c r="K47" s="13" t="str">
        <f t="shared" si="11"/>
        <v/>
      </c>
      <c r="L47" s="13" t="str">
        <f t="shared" si="12"/>
        <v/>
      </c>
      <c r="M47" s="13"/>
      <c r="N47" s="13" t="str">
        <f t="shared" si="22"/>
        <v/>
      </c>
      <c r="O47" s="13"/>
      <c r="P47" s="13"/>
      <c r="Q47" s="13" t="str">
        <f t="shared" si="13"/>
        <v/>
      </c>
      <c r="R47" s="13" t="str">
        <f t="shared" si="14"/>
        <v/>
      </c>
      <c r="T47" s="13"/>
      <c r="U47" s="13"/>
      <c r="V47" s="13"/>
    </row>
    <row r="48" spans="1:22">
      <c r="A48" s="13"/>
      <c r="B48" s="13"/>
      <c r="C48" s="13"/>
      <c r="D48" s="13"/>
      <c r="E48" s="13"/>
      <c r="F48" s="13"/>
      <c r="G48" s="13" t="str">
        <f t="shared" si="8"/>
        <v/>
      </c>
      <c r="H48" s="42"/>
      <c r="I48" s="13" t="str">
        <f t="shared" si="9"/>
        <v/>
      </c>
      <c r="J48" s="13" t="str">
        <f t="shared" si="10"/>
        <v/>
      </c>
      <c r="K48" s="13" t="str">
        <f t="shared" si="11"/>
        <v/>
      </c>
      <c r="L48" s="13" t="str">
        <f t="shared" si="12"/>
        <v/>
      </c>
      <c r="M48" s="13"/>
      <c r="N48" s="13" t="str">
        <f t="shared" si="22"/>
        <v/>
      </c>
      <c r="O48" s="13"/>
      <c r="P48" s="13"/>
      <c r="Q48" s="13" t="str">
        <f t="shared" si="13"/>
        <v/>
      </c>
      <c r="R48" s="13" t="str">
        <f t="shared" si="14"/>
        <v/>
      </c>
      <c r="T48" s="13"/>
      <c r="U48" s="13"/>
      <c r="V48" s="13"/>
    </row>
    <row r="49" spans="1:22">
      <c r="A49" s="13"/>
      <c r="B49" s="13"/>
      <c r="C49" s="13"/>
      <c r="D49" s="13"/>
      <c r="E49" s="13"/>
      <c r="F49" s="13"/>
      <c r="G49" s="13" t="str">
        <f t="shared" si="8"/>
        <v/>
      </c>
      <c r="H49" s="42"/>
      <c r="I49" s="13" t="str">
        <f t="shared" si="9"/>
        <v/>
      </c>
      <c r="J49" s="13" t="str">
        <f t="shared" si="10"/>
        <v/>
      </c>
      <c r="K49" s="13" t="str">
        <f t="shared" si="11"/>
        <v/>
      </c>
      <c r="L49" s="13" t="str">
        <f t="shared" si="12"/>
        <v/>
      </c>
      <c r="M49" s="13"/>
      <c r="N49" s="13" t="str">
        <f t="shared" si="22"/>
        <v/>
      </c>
      <c r="O49" s="13"/>
      <c r="P49" s="13"/>
      <c r="Q49" s="13" t="str">
        <f t="shared" si="13"/>
        <v/>
      </c>
      <c r="R49" s="13" t="str">
        <f t="shared" si="14"/>
        <v/>
      </c>
      <c r="T49" s="13"/>
      <c r="U49" s="13"/>
      <c r="V49" s="13"/>
    </row>
    <row r="50" spans="1:22">
      <c r="A50" s="13"/>
      <c r="B50" s="13"/>
      <c r="C50" s="13"/>
      <c r="D50" s="13"/>
      <c r="E50" s="13"/>
      <c r="F50" s="13"/>
      <c r="G50" s="13" t="str">
        <f t="shared" si="8"/>
        <v/>
      </c>
      <c r="H50" s="42"/>
      <c r="I50" s="13" t="str">
        <f t="shared" si="9"/>
        <v/>
      </c>
      <c r="J50" s="13" t="str">
        <f t="shared" si="10"/>
        <v/>
      </c>
      <c r="K50" s="13" t="str">
        <f t="shared" si="11"/>
        <v/>
      </c>
      <c r="L50" s="13" t="str">
        <f t="shared" si="12"/>
        <v/>
      </c>
      <c r="M50" s="13"/>
      <c r="N50" s="13" t="str">
        <f t="shared" si="22"/>
        <v/>
      </c>
      <c r="O50" s="13"/>
      <c r="P50" s="13"/>
      <c r="Q50" s="13" t="str">
        <f t="shared" si="13"/>
        <v/>
      </c>
      <c r="R50" s="13" t="str">
        <f t="shared" si="14"/>
        <v/>
      </c>
      <c r="T50" s="13"/>
      <c r="U50" s="13"/>
      <c r="V50" s="13"/>
    </row>
    <row r="51" spans="1:22">
      <c r="A51" s="13"/>
      <c r="B51" s="13"/>
      <c r="C51" s="13"/>
      <c r="D51" s="13"/>
      <c r="E51" s="13"/>
      <c r="F51" s="13"/>
      <c r="G51" s="13" t="str">
        <f t="shared" si="8"/>
        <v/>
      </c>
      <c r="H51" s="42"/>
      <c r="I51" s="13" t="str">
        <f t="shared" si="9"/>
        <v/>
      </c>
      <c r="J51" s="13" t="str">
        <f t="shared" si="10"/>
        <v/>
      </c>
      <c r="K51" s="13" t="str">
        <f t="shared" si="11"/>
        <v/>
      </c>
      <c r="L51" s="13" t="str">
        <f t="shared" si="12"/>
        <v/>
      </c>
      <c r="M51" s="13"/>
      <c r="N51" s="13" t="str">
        <f t="shared" si="22"/>
        <v/>
      </c>
      <c r="O51" s="13"/>
      <c r="P51" s="13"/>
      <c r="Q51" s="13" t="str">
        <f t="shared" si="13"/>
        <v/>
      </c>
      <c r="R51" s="13" t="str">
        <f t="shared" si="14"/>
        <v/>
      </c>
      <c r="T51" s="13"/>
      <c r="U51" s="13"/>
      <c r="V51" s="13"/>
    </row>
    <row r="52" spans="1:22">
      <c r="A52" s="13"/>
      <c r="B52" s="13"/>
      <c r="C52" s="13"/>
      <c r="D52" s="13"/>
      <c r="E52" s="13"/>
      <c r="F52" s="13"/>
      <c r="G52" s="13" t="str">
        <f t="shared" si="8"/>
        <v/>
      </c>
      <c r="H52" s="42"/>
      <c r="I52" s="13" t="str">
        <f t="shared" si="9"/>
        <v/>
      </c>
      <c r="J52" s="13" t="str">
        <f t="shared" si="10"/>
        <v/>
      </c>
      <c r="K52" s="13" t="str">
        <f t="shared" si="11"/>
        <v/>
      </c>
      <c r="L52" s="13" t="str">
        <f t="shared" si="12"/>
        <v/>
      </c>
      <c r="M52" s="13"/>
      <c r="N52" s="13" t="str">
        <f t="shared" si="22"/>
        <v/>
      </c>
      <c r="O52" s="13"/>
      <c r="P52" s="13"/>
      <c r="Q52" s="13" t="str">
        <f t="shared" si="13"/>
        <v/>
      </c>
      <c r="R52" s="13" t="str">
        <f t="shared" si="14"/>
        <v/>
      </c>
      <c r="T52" s="13"/>
      <c r="U52" s="13"/>
      <c r="V52" s="13"/>
    </row>
    <row r="53" spans="1:22">
      <c r="A53" s="13"/>
      <c r="B53" s="13"/>
      <c r="C53" s="13"/>
      <c r="D53" s="13"/>
      <c r="E53" s="13"/>
      <c r="F53" s="13"/>
      <c r="G53" s="13" t="str">
        <f t="shared" si="8"/>
        <v/>
      </c>
      <c r="H53" s="42"/>
      <c r="I53" s="13" t="str">
        <f t="shared" si="9"/>
        <v/>
      </c>
      <c r="J53" s="13" t="str">
        <f t="shared" si="10"/>
        <v/>
      </c>
      <c r="K53" s="13" t="str">
        <f t="shared" si="11"/>
        <v/>
      </c>
      <c r="L53" s="13" t="str">
        <f t="shared" si="12"/>
        <v/>
      </c>
      <c r="M53" s="13"/>
      <c r="N53" s="13" t="str">
        <f t="shared" si="22"/>
        <v/>
      </c>
      <c r="O53" s="13"/>
      <c r="P53" s="13"/>
      <c r="Q53" s="13" t="str">
        <f t="shared" si="13"/>
        <v/>
      </c>
      <c r="R53" s="13" t="str">
        <f t="shared" si="14"/>
        <v/>
      </c>
      <c r="T53" s="13"/>
      <c r="U53" s="13"/>
      <c r="V53" s="13"/>
    </row>
    <row r="54" spans="1:22">
      <c r="A54" s="13"/>
      <c r="B54" s="13"/>
      <c r="C54" s="13"/>
      <c r="D54" s="13"/>
      <c r="E54" s="13"/>
      <c r="F54" s="13"/>
      <c r="G54" s="13" t="str">
        <f t="shared" si="8"/>
        <v/>
      </c>
      <c r="H54" s="42"/>
      <c r="I54" s="13" t="str">
        <f t="shared" si="9"/>
        <v/>
      </c>
      <c r="J54" s="13" t="str">
        <f t="shared" si="10"/>
        <v/>
      </c>
      <c r="K54" s="13" t="str">
        <f t="shared" si="11"/>
        <v/>
      </c>
      <c r="L54" s="13" t="str">
        <f t="shared" si="12"/>
        <v/>
      </c>
      <c r="M54" s="13"/>
      <c r="N54" s="13" t="str">
        <f t="shared" si="22"/>
        <v/>
      </c>
      <c r="O54" s="13"/>
      <c r="P54" s="13"/>
      <c r="Q54" s="13" t="str">
        <f t="shared" si="13"/>
        <v/>
      </c>
      <c r="R54" s="13" t="str">
        <f t="shared" si="14"/>
        <v/>
      </c>
      <c r="T54" s="13"/>
      <c r="U54" s="13"/>
      <c r="V54" s="13"/>
    </row>
    <row r="55" spans="1:22">
      <c r="A55" s="13"/>
      <c r="B55" s="13"/>
      <c r="C55" s="13"/>
      <c r="D55" s="13"/>
      <c r="E55" s="13"/>
      <c r="F55" s="13"/>
      <c r="G55" s="13" t="str">
        <f t="shared" si="8"/>
        <v/>
      </c>
      <c r="H55" s="42"/>
      <c r="I55" s="13" t="str">
        <f t="shared" si="9"/>
        <v/>
      </c>
      <c r="J55" s="13" t="str">
        <f t="shared" si="10"/>
        <v/>
      </c>
      <c r="K55" s="13" t="str">
        <f t="shared" si="11"/>
        <v/>
      </c>
      <c r="L55" s="13" t="str">
        <f t="shared" si="12"/>
        <v/>
      </c>
      <c r="M55" s="13"/>
      <c r="N55" s="13" t="str">
        <f t="shared" si="22"/>
        <v/>
      </c>
      <c r="O55" s="13"/>
      <c r="P55" s="13"/>
      <c r="Q55" s="13" t="str">
        <f t="shared" si="13"/>
        <v/>
      </c>
      <c r="R55" s="13" t="str">
        <f t="shared" si="14"/>
        <v/>
      </c>
      <c r="T55" s="13"/>
      <c r="U55" s="13"/>
      <c r="V55" s="13"/>
    </row>
    <row r="56" spans="1:22">
      <c r="A56" s="13"/>
      <c r="B56" s="13"/>
      <c r="C56" s="13"/>
      <c r="D56" s="13"/>
      <c r="E56" s="13"/>
      <c r="F56" s="13"/>
      <c r="G56" s="13" t="str">
        <f t="shared" si="8"/>
        <v/>
      </c>
      <c r="H56" s="42"/>
      <c r="I56" s="13" t="str">
        <f t="shared" si="9"/>
        <v/>
      </c>
      <c r="J56" s="13" t="str">
        <f t="shared" si="10"/>
        <v/>
      </c>
      <c r="K56" s="13" t="str">
        <f t="shared" si="11"/>
        <v/>
      </c>
      <c r="L56" s="13" t="str">
        <f t="shared" si="12"/>
        <v/>
      </c>
      <c r="M56" s="13"/>
      <c r="N56" s="13" t="str">
        <f t="shared" si="22"/>
        <v/>
      </c>
      <c r="O56" s="13"/>
      <c r="P56" s="13"/>
      <c r="Q56" s="13" t="str">
        <f t="shared" si="13"/>
        <v/>
      </c>
      <c r="R56" s="13" t="str">
        <f t="shared" si="14"/>
        <v/>
      </c>
      <c r="T56" s="13"/>
      <c r="U56" s="13"/>
      <c r="V56" s="13"/>
    </row>
    <row r="57" spans="1:22">
      <c r="A57" s="13"/>
      <c r="B57" s="13"/>
      <c r="C57" s="13"/>
      <c r="D57" s="13"/>
      <c r="E57" s="13"/>
      <c r="F57" s="13"/>
      <c r="G57" s="13" t="str">
        <f t="shared" si="8"/>
        <v/>
      </c>
      <c r="H57" s="42"/>
      <c r="I57" s="13" t="str">
        <f t="shared" si="9"/>
        <v/>
      </c>
      <c r="J57" s="13" t="str">
        <f t="shared" si="10"/>
        <v/>
      </c>
      <c r="K57" s="13" t="str">
        <f t="shared" si="11"/>
        <v/>
      </c>
      <c r="L57" s="13" t="str">
        <f t="shared" si="12"/>
        <v/>
      </c>
      <c r="M57" s="13"/>
      <c r="N57" s="13" t="str">
        <f t="shared" si="22"/>
        <v/>
      </c>
      <c r="O57" s="13"/>
      <c r="P57" s="13"/>
      <c r="Q57" s="13" t="str">
        <f t="shared" si="13"/>
        <v/>
      </c>
      <c r="R57" s="13" t="str">
        <f t="shared" si="14"/>
        <v/>
      </c>
      <c r="T57" s="13"/>
      <c r="U57" s="13"/>
      <c r="V57" s="13"/>
    </row>
    <row r="58" spans="1:22">
      <c r="A58" s="13"/>
      <c r="B58" s="13"/>
      <c r="C58" s="13"/>
      <c r="D58" s="13"/>
      <c r="E58" s="13"/>
      <c r="F58" s="13"/>
      <c r="G58" s="13" t="str">
        <f t="shared" si="8"/>
        <v/>
      </c>
      <c r="H58" s="42"/>
      <c r="I58" s="13" t="str">
        <f t="shared" si="9"/>
        <v/>
      </c>
      <c r="J58" s="13" t="str">
        <f t="shared" si="10"/>
        <v/>
      </c>
      <c r="K58" s="13" t="str">
        <f t="shared" si="11"/>
        <v/>
      </c>
      <c r="L58" s="13" t="str">
        <f t="shared" si="12"/>
        <v/>
      </c>
      <c r="M58" s="13"/>
      <c r="N58" s="13" t="str">
        <f t="shared" si="22"/>
        <v/>
      </c>
      <c r="O58" s="13"/>
      <c r="P58" s="13"/>
      <c r="Q58" s="13" t="str">
        <f t="shared" si="13"/>
        <v/>
      </c>
      <c r="R58" s="13" t="str">
        <f t="shared" si="14"/>
        <v/>
      </c>
      <c r="T58" s="13"/>
      <c r="U58" s="13"/>
      <c r="V58" s="13"/>
    </row>
    <row r="59" spans="1:22">
      <c r="A59" s="13"/>
      <c r="B59" s="13"/>
      <c r="C59" s="13"/>
      <c r="D59" s="13"/>
      <c r="E59" s="13"/>
      <c r="F59" s="13"/>
      <c r="G59" s="13" t="str">
        <f t="shared" si="8"/>
        <v/>
      </c>
      <c r="H59" s="42"/>
      <c r="I59" s="13" t="str">
        <f t="shared" si="9"/>
        <v/>
      </c>
      <c r="J59" s="13" t="str">
        <f t="shared" si="10"/>
        <v/>
      </c>
      <c r="K59" s="13" t="str">
        <f t="shared" si="11"/>
        <v/>
      </c>
      <c r="L59" s="13" t="str">
        <f t="shared" si="12"/>
        <v/>
      </c>
      <c r="M59" s="13"/>
      <c r="N59" s="13" t="str">
        <f t="shared" si="22"/>
        <v/>
      </c>
      <c r="O59" s="13"/>
      <c r="P59" s="13"/>
      <c r="Q59" s="13" t="str">
        <f t="shared" si="13"/>
        <v/>
      </c>
      <c r="R59" s="13" t="str">
        <f t="shared" si="14"/>
        <v/>
      </c>
      <c r="T59" s="13"/>
      <c r="U59" s="13"/>
      <c r="V59" s="13"/>
    </row>
    <row r="60" spans="1:22">
      <c r="A60" s="13"/>
      <c r="B60" s="13"/>
      <c r="C60" s="13"/>
      <c r="D60" s="13"/>
      <c r="E60" s="13"/>
      <c r="F60" s="13"/>
      <c r="G60" s="13" t="str">
        <f t="shared" si="8"/>
        <v/>
      </c>
      <c r="H60" s="42"/>
      <c r="I60" s="13" t="str">
        <f t="shared" si="9"/>
        <v/>
      </c>
      <c r="J60" s="13" t="str">
        <f t="shared" si="10"/>
        <v/>
      </c>
      <c r="K60" s="13" t="str">
        <f t="shared" si="11"/>
        <v/>
      </c>
      <c r="L60" s="13" t="str">
        <f t="shared" si="12"/>
        <v/>
      </c>
      <c r="M60" s="13"/>
      <c r="N60" s="13" t="str">
        <f t="shared" si="22"/>
        <v/>
      </c>
      <c r="O60" s="13"/>
      <c r="P60" s="13"/>
      <c r="Q60" s="13" t="str">
        <f t="shared" si="13"/>
        <v/>
      </c>
      <c r="R60" s="13" t="str">
        <f t="shared" si="14"/>
        <v/>
      </c>
      <c r="T60" s="13"/>
      <c r="U60" s="13"/>
      <c r="V60" s="13"/>
    </row>
    <row r="61" spans="1:22">
      <c r="A61" s="13"/>
      <c r="B61" s="13"/>
      <c r="C61" s="13"/>
      <c r="D61" s="13"/>
      <c r="E61" s="13"/>
      <c r="F61" s="13"/>
      <c r="G61" s="13" t="str">
        <f t="shared" si="8"/>
        <v/>
      </c>
      <c r="H61" s="42"/>
      <c r="I61" s="13" t="str">
        <f t="shared" si="9"/>
        <v/>
      </c>
      <c r="J61" s="13" t="str">
        <f t="shared" si="10"/>
        <v/>
      </c>
      <c r="K61" s="13" t="str">
        <f t="shared" si="11"/>
        <v/>
      </c>
      <c r="L61" s="13" t="str">
        <f t="shared" si="12"/>
        <v/>
      </c>
      <c r="M61" s="13"/>
      <c r="N61" s="13" t="str">
        <f t="shared" si="22"/>
        <v/>
      </c>
      <c r="O61" s="13"/>
      <c r="P61" s="13"/>
      <c r="Q61" s="13" t="str">
        <f t="shared" si="13"/>
        <v/>
      </c>
      <c r="R61" s="13" t="str">
        <f t="shared" si="14"/>
        <v/>
      </c>
      <c r="T61" s="13"/>
      <c r="U61" s="13"/>
      <c r="V61" s="13"/>
    </row>
    <row r="62" spans="1:22">
      <c r="A62" s="13"/>
      <c r="B62" s="13"/>
      <c r="C62" s="13"/>
      <c r="D62" s="13"/>
      <c r="E62" s="13"/>
      <c r="F62" s="13"/>
      <c r="G62" s="13" t="str">
        <f t="shared" si="8"/>
        <v/>
      </c>
      <c r="H62" s="42"/>
      <c r="I62" s="13" t="str">
        <f t="shared" si="9"/>
        <v/>
      </c>
      <c r="J62" s="13" t="str">
        <f t="shared" si="10"/>
        <v/>
      </c>
      <c r="K62" s="13" t="str">
        <f t="shared" si="11"/>
        <v/>
      </c>
      <c r="L62" s="13" t="str">
        <f t="shared" si="12"/>
        <v/>
      </c>
      <c r="M62" s="13"/>
      <c r="N62" s="13" t="str">
        <f t="shared" si="22"/>
        <v/>
      </c>
      <c r="O62" s="13"/>
      <c r="P62" s="13"/>
      <c r="Q62" s="13" t="str">
        <f t="shared" si="13"/>
        <v/>
      </c>
      <c r="R62" s="13" t="str">
        <f t="shared" si="14"/>
        <v/>
      </c>
      <c r="T62" s="13"/>
      <c r="U62" s="13"/>
      <c r="V62" s="13"/>
    </row>
    <row r="63" spans="1:22">
      <c r="A63" s="13"/>
      <c r="B63" s="13"/>
      <c r="C63" s="13"/>
      <c r="D63" s="13"/>
      <c r="E63" s="13"/>
      <c r="F63" s="13"/>
      <c r="G63" s="13" t="str">
        <f t="shared" si="8"/>
        <v/>
      </c>
      <c r="H63" s="42"/>
      <c r="I63" s="13" t="str">
        <f t="shared" si="9"/>
        <v/>
      </c>
      <c r="J63" s="13" t="str">
        <f t="shared" si="10"/>
        <v/>
      </c>
      <c r="K63" s="13" t="str">
        <f t="shared" si="11"/>
        <v/>
      </c>
      <c r="L63" s="13" t="str">
        <f t="shared" si="12"/>
        <v/>
      </c>
      <c r="M63" s="13"/>
      <c r="N63" s="13" t="str">
        <f t="shared" si="22"/>
        <v/>
      </c>
      <c r="O63" s="13"/>
      <c r="P63" s="13"/>
      <c r="Q63" s="13" t="str">
        <f t="shared" si="13"/>
        <v/>
      </c>
      <c r="R63" s="13" t="str">
        <f t="shared" si="14"/>
        <v/>
      </c>
      <c r="T63" s="13"/>
      <c r="U63" s="13"/>
      <c r="V63" s="13"/>
    </row>
    <row r="64" spans="1:22">
      <c r="A64" s="13"/>
      <c r="B64" s="13"/>
      <c r="C64" s="13"/>
      <c r="D64" s="13"/>
      <c r="E64" s="13"/>
      <c r="F64" s="13"/>
      <c r="G64" s="13" t="str">
        <f t="shared" si="8"/>
        <v/>
      </c>
      <c r="H64" s="42"/>
      <c r="I64" s="13" t="str">
        <f t="shared" si="9"/>
        <v/>
      </c>
      <c r="J64" s="13" t="str">
        <f t="shared" si="10"/>
        <v/>
      </c>
      <c r="K64" s="13" t="str">
        <f t="shared" si="11"/>
        <v/>
      </c>
      <c r="L64" s="13" t="str">
        <f t="shared" si="12"/>
        <v/>
      </c>
      <c r="M64" s="13"/>
      <c r="N64" s="13" t="str">
        <f t="shared" si="22"/>
        <v/>
      </c>
      <c r="O64" s="13"/>
      <c r="P64" s="13"/>
      <c r="Q64" s="13" t="str">
        <f t="shared" si="13"/>
        <v/>
      </c>
      <c r="R64" s="13" t="str">
        <f t="shared" si="14"/>
        <v/>
      </c>
      <c r="T64" s="13"/>
      <c r="U64" s="13"/>
      <c r="V64" s="13"/>
    </row>
    <row r="65" spans="1:22">
      <c r="A65" s="13"/>
      <c r="B65" s="13"/>
      <c r="C65" s="13"/>
      <c r="D65" s="13"/>
      <c r="E65" s="13"/>
      <c r="F65" s="13"/>
      <c r="G65" s="13" t="str">
        <f t="shared" si="8"/>
        <v/>
      </c>
      <c r="H65" s="42"/>
      <c r="I65" s="13" t="str">
        <f t="shared" si="9"/>
        <v/>
      </c>
      <c r="J65" s="13" t="str">
        <f t="shared" si="10"/>
        <v/>
      </c>
      <c r="K65" s="13" t="str">
        <f t="shared" si="11"/>
        <v/>
      </c>
      <c r="L65" s="13" t="str">
        <f t="shared" si="12"/>
        <v/>
      </c>
      <c r="M65" s="13"/>
      <c r="N65" s="13" t="str">
        <f t="shared" si="22"/>
        <v/>
      </c>
      <c r="O65" s="13"/>
      <c r="P65" s="13"/>
      <c r="Q65" s="13" t="str">
        <f t="shared" si="13"/>
        <v/>
      </c>
      <c r="R65" s="13" t="str">
        <f t="shared" si="14"/>
        <v/>
      </c>
      <c r="T65" s="13"/>
      <c r="U65" s="13"/>
      <c r="V65" s="13"/>
    </row>
    <row r="66" spans="1:22">
      <c r="A66" s="13"/>
      <c r="B66" s="13"/>
      <c r="C66" s="13"/>
      <c r="D66" s="13"/>
      <c r="E66" s="13"/>
      <c r="F66" s="13"/>
      <c r="G66" s="13" t="str">
        <f t="shared" si="8"/>
        <v/>
      </c>
      <c r="H66" s="42"/>
      <c r="I66" s="13" t="str">
        <f t="shared" si="9"/>
        <v/>
      </c>
      <c r="J66" s="13" t="str">
        <f t="shared" si="10"/>
        <v/>
      </c>
      <c r="K66" s="13" t="str">
        <f t="shared" si="11"/>
        <v/>
      </c>
      <c r="L66" s="13" t="str">
        <f t="shared" si="12"/>
        <v/>
      </c>
      <c r="M66" s="13"/>
      <c r="N66" s="13" t="str">
        <f t="shared" si="22"/>
        <v/>
      </c>
      <c r="O66" s="13"/>
      <c r="P66" s="13"/>
      <c r="Q66" s="13" t="str">
        <f t="shared" si="13"/>
        <v/>
      </c>
      <c r="R66" s="13" t="str">
        <f t="shared" si="14"/>
        <v/>
      </c>
      <c r="T66" s="13"/>
      <c r="U66" s="13"/>
      <c r="V66" s="13"/>
    </row>
    <row r="67" spans="1:22">
      <c r="A67" s="13"/>
      <c r="B67" s="13"/>
      <c r="C67" s="13"/>
      <c r="D67" s="13"/>
      <c r="E67" s="13"/>
      <c r="F67" s="13"/>
      <c r="G67" s="13" t="str">
        <f t="shared" si="8"/>
        <v/>
      </c>
      <c r="H67" s="42"/>
      <c r="I67" s="13" t="str">
        <f t="shared" si="9"/>
        <v/>
      </c>
      <c r="J67" s="13" t="str">
        <f t="shared" si="10"/>
        <v/>
      </c>
      <c r="K67" s="13" t="str">
        <f t="shared" si="11"/>
        <v/>
      </c>
      <c r="L67" s="13" t="str">
        <f t="shared" si="12"/>
        <v/>
      </c>
      <c r="M67" s="13"/>
      <c r="N67" s="13" t="str">
        <f t="shared" si="22"/>
        <v/>
      </c>
      <c r="O67" s="13"/>
      <c r="P67" s="13"/>
      <c r="Q67" s="13" t="str">
        <f t="shared" si="13"/>
        <v/>
      </c>
      <c r="R67" s="13" t="str">
        <f t="shared" si="14"/>
        <v/>
      </c>
      <c r="T67" s="13"/>
      <c r="U67" s="13"/>
      <c r="V67" s="13"/>
    </row>
    <row r="68" spans="1:22">
      <c r="A68" s="13"/>
      <c r="B68" s="13"/>
      <c r="C68" s="13"/>
      <c r="D68" s="13"/>
      <c r="E68" s="13"/>
      <c r="F68" s="13"/>
      <c r="G68" s="13" t="str">
        <f t="shared" si="8"/>
        <v/>
      </c>
      <c r="H68" s="42"/>
      <c r="I68" s="13" t="str">
        <f t="shared" si="9"/>
        <v/>
      </c>
      <c r="J68" s="13" t="str">
        <f t="shared" si="10"/>
        <v/>
      </c>
      <c r="K68" s="13" t="str">
        <f t="shared" si="11"/>
        <v/>
      </c>
      <c r="L68" s="13" t="str">
        <f t="shared" si="12"/>
        <v/>
      </c>
      <c r="M68" s="13"/>
      <c r="N68" s="13" t="str">
        <f t="shared" si="22"/>
        <v/>
      </c>
      <c r="O68" s="13"/>
      <c r="P68" s="13"/>
      <c r="Q68" s="13" t="str">
        <f t="shared" si="13"/>
        <v/>
      </c>
      <c r="R68" s="13" t="str">
        <f t="shared" si="14"/>
        <v/>
      </c>
      <c r="T68" s="13"/>
      <c r="U68" s="13"/>
      <c r="V68" s="13"/>
    </row>
    <row r="69" spans="1:22">
      <c r="A69" s="13"/>
      <c r="B69" s="13"/>
      <c r="C69" s="13"/>
      <c r="D69" s="13"/>
      <c r="E69" s="13"/>
      <c r="F69" s="13"/>
      <c r="G69" s="13" t="str">
        <f t="shared" si="8"/>
        <v/>
      </c>
      <c r="H69" s="42"/>
      <c r="I69" s="13" t="str">
        <f t="shared" si="9"/>
        <v/>
      </c>
      <c r="J69" s="13" t="str">
        <f t="shared" si="10"/>
        <v/>
      </c>
      <c r="K69" s="13" t="str">
        <f t="shared" si="11"/>
        <v/>
      </c>
      <c r="L69" s="13" t="str">
        <f t="shared" si="12"/>
        <v/>
      </c>
      <c r="M69" s="13"/>
      <c r="N69" s="13" t="str">
        <f t="shared" si="22"/>
        <v/>
      </c>
      <c r="O69" s="13"/>
      <c r="P69" s="13"/>
      <c r="Q69" s="13" t="str">
        <f t="shared" si="13"/>
        <v/>
      </c>
      <c r="R69" s="13" t="str">
        <f t="shared" si="14"/>
        <v/>
      </c>
      <c r="T69" s="13"/>
      <c r="U69" s="13"/>
      <c r="V69" s="13"/>
    </row>
    <row r="70" spans="1:22">
      <c r="A70" s="13"/>
      <c r="B70" s="13"/>
      <c r="C70" s="13"/>
      <c r="D70" s="13"/>
      <c r="E70" s="13"/>
      <c r="F70" s="13"/>
      <c r="G70" s="13" t="str">
        <f t="shared" si="8"/>
        <v/>
      </c>
      <c r="H70" s="42"/>
      <c r="I70" s="13" t="str">
        <f t="shared" si="9"/>
        <v/>
      </c>
      <c r="J70" s="13" t="str">
        <f t="shared" si="10"/>
        <v/>
      </c>
      <c r="K70" s="13" t="str">
        <f t="shared" si="11"/>
        <v/>
      </c>
      <c r="L70" s="13" t="str">
        <f t="shared" si="12"/>
        <v/>
      </c>
      <c r="M70" s="13"/>
      <c r="N70" s="13" t="str">
        <f t="shared" si="22"/>
        <v/>
      </c>
      <c r="O70" s="13"/>
      <c r="P70" s="13"/>
      <c r="Q70" s="13" t="str">
        <f t="shared" si="13"/>
        <v/>
      </c>
      <c r="R70" s="13" t="str">
        <f t="shared" si="14"/>
        <v/>
      </c>
      <c r="T70" s="13"/>
      <c r="U70" s="13"/>
      <c r="V70" s="13"/>
    </row>
    <row r="71" spans="1:22">
      <c r="A71" s="13"/>
      <c r="B71" s="13"/>
      <c r="C71" s="13"/>
      <c r="D71" s="13"/>
      <c r="E71" s="13"/>
      <c r="F71" s="13"/>
      <c r="G71" s="13" t="str">
        <f t="shared" si="8"/>
        <v/>
      </c>
      <c r="H71" s="42"/>
      <c r="I71" s="13" t="str">
        <f t="shared" si="9"/>
        <v/>
      </c>
      <c r="J71" s="13" t="str">
        <f t="shared" si="10"/>
        <v/>
      </c>
      <c r="K71" s="13" t="str">
        <f t="shared" si="11"/>
        <v/>
      </c>
      <c r="L71" s="13" t="str">
        <f t="shared" si="12"/>
        <v/>
      </c>
      <c r="M71" s="13"/>
      <c r="N71" s="13" t="str">
        <f t="shared" si="22"/>
        <v/>
      </c>
      <c r="O71" s="13"/>
      <c r="P71" s="13"/>
      <c r="Q71" s="13" t="str">
        <f t="shared" si="13"/>
        <v/>
      </c>
      <c r="R71" s="13" t="str">
        <f t="shared" si="14"/>
        <v/>
      </c>
      <c r="T71" s="13"/>
      <c r="U71" s="13"/>
      <c r="V71" s="13"/>
    </row>
    <row r="72" spans="1:22">
      <c r="A72" s="13"/>
      <c r="B72" s="13"/>
      <c r="C72" s="13"/>
      <c r="D72" s="13"/>
      <c r="E72" s="13"/>
      <c r="F72" s="13"/>
      <c r="G72" s="13" t="str">
        <f t="shared" si="8"/>
        <v/>
      </c>
      <c r="H72" s="42"/>
      <c r="I72" s="13" t="str">
        <f t="shared" si="9"/>
        <v/>
      </c>
      <c r="J72" s="13" t="str">
        <f t="shared" si="10"/>
        <v/>
      </c>
      <c r="K72" s="13" t="str">
        <f t="shared" si="11"/>
        <v/>
      </c>
      <c r="L72" s="13" t="str">
        <f t="shared" si="12"/>
        <v/>
      </c>
      <c r="M72" s="13"/>
      <c r="N72" s="13" t="str">
        <f t="shared" si="22"/>
        <v/>
      </c>
      <c r="O72" s="13"/>
      <c r="P72" s="13"/>
      <c r="Q72" s="13" t="str">
        <f t="shared" si="13"/>
        <v/>
      </c>
      <c r="R72" s="13" t="str">
        <f t="shared" si="14"/>
        <v/>
      </c>
      <c r="T72" s="13"/>
      <c r="U72" s="13"/>
      <c r="V72" s="13"/>
    </row>
    <row r="73" spans="1:22">
      <c r="A73" s="13"/>
      <c r="B73" s="13"/>
      <c r="C73" s="13"/>
      <c r="D73" s="13"/>
      <c r="E73" s="13"/>
      <c r="F73" s="13"/>
      <c r="G73" s="13" t="str">
        <f t="shared" ref="G73:G81" si="23">IF(ISNUMBER(F73)=FALSE,"",HOUR(B73)*100+MINUTE(B73))</f>
        <v/>
      </c>
      <c r="H73" s="42"/>
      <c r="I73" s="13" t="str">
        <f t="shared" ref="I73:I81" si="24">IF(OR(G73=1125,G73=1455),"",IF(AND(D73&gt;=H73,H73&gt;=E73,F73&gt;H73, H73&lt;&gt;"",G74&lt;&gt;""),"買",IF(AND(D73&gt;=H73,H73&gt;=E73,F73&lt;H73, H73&lt;&gt;"",G74&lt;&gt;""),"売","")))</f>
        <v/>
      </c>
      <c r="J73" s="13" t="str">
        <f t="shared" ref="J73:J81" si="25">IF(OR(I73="買",  I73="売"), F73, "")</f>
        <v/>
      </c>
      <c r="K73" s="13" t="str">
        <f t="shared" ref="K73:K81" si="26">IF(I73="買", $E$1,"")</f>
        <v/>
      </c>
      <c r="L73" s="13" t="str">
        <f t="shared" ref="L73:L81" si="27">IF(I73="売", $E$1,"")</f>
        <v/>
      </c>
      <c r="M73" s="13"/>
      <c r="N73" s="13" t="str">
        <f t="shared" si="22"/>
        <v/>
      </c>
      <c r="O73" s="13"/>
      <c r="P73" s="13"/>
      <c r="Q73" s="13" t="str">
        <f t="shared" ref="Q73:Q81" si="28">IF(AND(I73="買",P73&lt;&gt;""), P73-J73,IF(AND(I73="売",P73&lt;&gt;""), J73-P73,""))</f>
        <v/>
      </c>
      <c r="R73" s="13" t="str">
        <f t="shared" ref="R73:R81" si="29">IF(OR(Q73="",Q73=0),"",IF(Q73&gt;0,"利確",IF(Q73&lt;0,"損切","")))</f>
        <v/>
      </c>
      <c r="T73" s="13"/>
      <c r="U73" s="13"/>
      <c r="V73" s="13"/>
    </row>
    <row r="74" spans="1:22">
      <c r="A74" s="13"/>
      <c r="B74" s="13"/>
      <c r="C74" s="13"/>
      <c r="D74" s="13"/>
      <c r="E74" s="13"/>
      <c r="F74" s="13"/>
      <c r="G74" s="13" t="str">
        <f t="shared" si="23"/>
        <v/>
      </c>
      <c r="H74" s="42"/>
      <c r="I74" s="13" t="str">
        <f t="shared" si="24"/>
        <v/>
      </c>
      <c r="J74" s="13" t="str">
        <f t="shared" si="25"/>
        <v/>
      </c>
      <c r="K74" s="13" t="str">
        <f t="shared" si="26"/>
        <v/>
      </c>
      <c r="L74" s="13" t="str">
        <f t="shared" si="27"/>
        <v/>
      </c>
      <c r="M74" s="13"/>
      <c r="N74" s="13" t="str">
        <f t="shared" si="22"/>
        <v/>
      </c>
      <c r="O74" s="13"/>
      <c r="P74" s="13"/>
      <c r="Q74" s="13" t="str">
        <f t="shared" si="28"/>
        <v/>
      </c>
      <c r="R74" s="13" t="str">
        <f t="shared" si="29"/>
        <v/>
      </c>
      <c r="T74" s="13"/>
      <c r="U74" s="13"/>
      <c r="V74" s="13"/>
    </row>
    <row r="75" spans="1:22">
      <c r="A75" s="13"/>
      <c r="B75" s="13"/>
      <c r="C75" s="13"/>
      <c r="D75" s="13"/>
      <c r="E75" s="13"/>
      <c r="F75" s="13"/>
      <c r="G75" s="13" t="str">
        <f t="shared" si="23"/>
        <v/>
      </c>
      <c r="H75" s="42"/>
      <c r="I75" s="13" t="str">
        <f t="shared" si="24"/>
        <v/>
      </c>
      <c r="J75" s="13" t="str">
        <f t="shared" si="25"/>
        <v/>
      </c>
      <c r="K75" s="13" t="str">
        <f t="shared" si="26"/>
        <v/>
      </c>
      <c r="L75" s="13" t="str">
        <f t="shared" si="27"/>
        <v/>
      </c>
      <c r="M75" s="13"/>
      <c r="N75" s="13" t="str">
        <f t="shared" si="22"/>
        <v/>
      </c>
      <c r="O75" s="13"/>
      <c r="P75" s="13"/>
      <c r="Q75" s="13" t="str">
        <f t="shared" si="28"/>
        <v/>
      </c>
      <c r="R75" s="13" t="str">
        <f t="shared" si="29"/>
        <v/>
      </c>
      <c r="T75" s="13"/>
      <c r="U75" s="13"/>
      <c r="V75" s="13"/>
    </row>
    <row r="76" spans="1:22">
      <c r="A76" s="13"/>
      <c r="B76" s="13"/>
      <c r="C76" s="13"/>
      <c r="D76" s="13"/>
      <c r="E76" s="13"/>
      <c r="F76" s="13"/>
      <c r="G76" s="13" t="str">
        <f t="shared" si="23"/>
        <v/>
      </c>
      <c r="H76" s="42"/>
      <c r="I76" s="13" t="str">
        <f t="shared" si="24"/>
        <v/>
      </c>
      <c r="J76" s="13" t="str">
        <f t="shared" si="25"/>
        <v/>
      </c>
      <c r="K76" s="13" t="str">
        <f t="shared" si="26"/>
        <v/>
      </c>
      <c r="L76" s="13" t="str">
        <f t="shared" si="27"/>
        <v/>
      </c>
      <c r="M76" s="13"/>
      <c r="N76" s="13" t="str">
        <f t="shared" si="22"/>
        <v/>
      </c>
      <c r="O76" s="13"/>
      <c r="P76" s="13"/>
      <c r="Q76" s="13" t="str">
        <f t="shared" si="28"/>
        <v/>
      </c>
      <c r="R76" s="13" t="str">
        <f t="shared" si="29"/>
        <v/>
      </c>
      <c r="T76" s="13"/>
      <c r="U76" s="13"/>
      <c r="V76" s="13"/>
    </row>
    <row r="77" spans="1:22">
      <c r="A77" s="13"/>
      <c r="B77" s="13"/>
      <c r="C77" s="13"/>
      <c r="D77" s="13"/>
      <c r="E77" s="13"/>
      <c r="F77" s="13"/>
      <c r="G77" s="13" t="str">
        <f t="shared" si="23"/>
        <v/>
      </c>
      <c r="H77" s="42"/>
      <c r="I77" s="13" t="str">
        <f t="shared" si="24"/>
        <v/>
      </c>
      <c r="J77" s="13" t="str">
        <f t="shared" si="25"/>
        <v/>
      </c>
      <c r="K77" s="13" t="str">
        <f t="shared" si="26"/>
        <v/>
      </c>
      <c r="L77" s="13" t="str">
        <f t="shared" si="27"/>
        <v/>
      </c>
      <c r="M77" s="13"/>
      <c r="N77" s="13" t="str">
        <f t="shared" si="22"/>
        <v/>
      </c>
      <c r="O77" s="13"/>
      <c r="P77" s="13"/>
      <c r="Q77" s="13" t="str">
        <f t="shared" si="28"/>
        <v/>
      </c>
      <c r="R77" s="13" t="str">
        <f t="shared" si="29"/>
        <v/>
      </c>
      <c r="T77" s="13"/>
      <c r="U77" s="13"/>
      <c r="V77" s="13"/>
    </row>
    <row r="78" spans="1:22">
      <c r="A78" s="13"/>
      <c r="B78" s="13"/>
      <c r="C78" s="13"/>
      <c r="D78" s="13"/>
      <c r="E78" s="13"/>
      <c r="F78" s="13"/>
      <c r="G78" s="13" t="str">
        <f t="shared" si="23"/>
        <v/>
      </c>
      <c r="H78" s="42"/>
      <c r="I78" s="13" t="str">
        <f t="shared" si="24"/>
        <v/>
      </c>
      <c r="J78" s="13" t="str">
        <f t="shared" si="25"/>
        <v/>
      </c>
      <c r="K78" s="13" t="str">
        <f t="shared" si="26"/>
        <v/>
      </c>
      <c r="L78" s="13" t="str">
        <f t="shared" si="27"/>
        <v/>
      </c>
      <c r="M78" s="13"/>
      <c r="N78" s="13" t="str">
        <f t="shared" si="22"/>
        <v/>
      </c>
      <c r="O78" s="13"/>
      <c r="P78" s="13"/>
      <c r="Q78" s="13" t="str">
        <f t="shared" si="28"/>
        <v/>
      </c>
      <c r="R78" s="13" t="str">
        <f t="shared" si="29"/>
        <v/>
      </c>
      <c r="T78" s="13"/>
      <c r="U78" s="13"/>
      <c r="V78" s="13"/>
    </row>
    <row r="79" spans="1:22">
      <c r="A79" s="13"/>
      <c r="B79" s="13"/>
      <c r="C79" s="13"/>
      <c r="D79" s="13"/>
      <c r="E79" s="13"/>
      <c r="F79" s="13"/>
      <c r="G79" s="13" t="str">
        <f t="shared" si="23"/>
        <v/>
      </c>
      <c r="H79" s="42"/>
      <c r="I79" s="13" t="str">
        <f t="shared" si="24"/>
        <v/>
      </c>
      <c r="J79" s="13" t="str">
        <f t="shared" si="25"/>
        <v/>
      </c>
      <c r="K79" s="13" t="str">
        <f t="shared" si="26"/>
        <v/>
      </c>
      <c r="L79" s="13" t="str">
        <f t="shared" si="27"/>
        <v/>
      </c>
      <c r="M79" s="13"/>
      <c r="N79" s="13" t="str">
        <f t="shared" si="22"/>
        <v/>
      </c>
      <c r="O79" s="13"/>
      <c r="P79" s="13"/>
      <c r="Q79" s="13" t="str">
        <f t="shared" si="28"/>
        <v/>
      </c>
      <c r="R79" s="13" t="str">
        <f t="shared" si="29"/>
        <v/>
      </c>
      <c r="T79" s="13"/>
      <c r="U79" s="13"/>
      <c r="V79" s="13"/>
    </row>
    <row r="80" spans="1:22">
      <c r="A80" s="13"/>
      <c r="B80" s="13"/>
      <c r="C80" s="13"/>
      <c r="D80" s="13"/>
      <c r="E80" s="13"/>
      <c r="F80" s="13"/>
      <c r="G80" s="13" t="str">
        <f t="shared" si="23"/>
        <v/>
      </c>
      <c r="H80" s="42"/>
      <c r="I80" s="13" t="str">
        <f t="shared" si="24"/>
        <v/>
      </c>
      <c r="J80" s="13" t="str">
        <f t="shared" si="25"/>
        <v/>
      </c>
      <c r="K80" s="13" t="str">
        <f t="shared" si="26"/>
        <v/>
      </c>
      <c r="L80" s="13" t="str">
        <f t="shared" si="27"/>
        <v/>
      </c>
      <c r="M80" s="13"/>
      <c r="N80" s="13" t="str">
        <f t="shared" ref="N80:N82" si="30">IF(OR(E83="",O80="",M80&lt;&gt;""), "",IF(AND(I80="買",E83&lt;O80),"売",IF(AND(I80="売",D83&gt;O80),"買","")))</f>
        <v/>
      </c>
      <c r="O80" s="13"/>
      <c r="P80" s="13"/>
      <c r="Q80" s="13" t="str">
        <f t="shared" si="28"/>
        <v/>
      </c>
      <c r="R80" s="13" t="str">
        <f t="shared" si="29"/>
        <v/>
      </c>
      <c r="T80" s="13"/>
      <c r="U80" s="13"/>
      <c r="V80" s="13"/>
    </row>
    <row r="81" spans="1:22">
      <c r="A81" s="13"/>
      <c r="B81" s="13"/>
      <c r="C81" s="13"/>
      <c r="D81" s="13"/>
      <c r="E81" s="13"/>
      <c r="F81" s="13"/>
      <c r="G81" s="13" t="str">
        <f t="shared" si="23"/>
        <v/>
      </c>
      <c r="H81" s="42"/>
      <c r="I81" s="13" t="str">
        <f t="shared" si="24"/>
        <v/>
      </c>
      <c r="J81" s="13" t="str">
        <f t="shared" si="25"/>
        <v/>
      </c>
      <c r="K81" s="13" t="str">
        <f t="shared" si="26"/>
        <v/>
      </c>
      <c r="L81" s="13" t="str">
        <f t="shared" si="27"/>
        <v/>
      </c>
      <c r="M81" s="13"/>
      <c r="N81" s="13" t="str">
        <f t="shared" si="30"/>
        <v/>
      </c>
      <c r="O81" s="13"/>
      <c r="P81" s="13"/>
      <c r="Q81" s="13" t="str">
        <f t="shared" si="28"/>
        <v/>
      </c>
      <c r="R81" s="13" t="str">
        <f t="shared" si="29"/>
        <v/>
      </c>
      <c r="T81" s="13"/>
      <c r="U81" s="13"/>
      <c r="V81" s="13"/>
    </row>
    <row r="82" spans="1:22">
      <c r="A82" s="43"/>
      <c r="B82" s="43"/>
      <c r="C82" s="43"/>
      <c r="D82" s="43"/>
      <c r="E82" s="43"/>
      <c r="F82" s="43"/>
      <c r="G82" s="13" t="str">
        <f t="shared" ref="G82" si="31">IF(ISNUMBER(F82)=FALSE,"",HOUR(B82)*100+MINUTE(B82))</f>
        <v/>
      </c>
      <c r="H82" s="42"/>
      <c r="I82" s="13" t="str">
        <f t="shared" ref="I82" si="32">IF(OR(G82=1125,G82=1455),"",IF(AND(D82&gt;=H82,H82&gt;=E82,F82&gt;H82, H82&lt;&gt;"",G83&lt;&gt;""),"買",IF(AND(D82&gt;=H82,H82&gt;=E82,F82&lt;H82, H82&lt;&gt;"",G83&lt;&gt;""),"売","")))</f>
        <v/>
      </c>
      <c r="J82" s="13" t="str">
        <f t="shared" ref="J82" si="33">IF(OR(I82="買",  I82="売"), F82, "")</f>
        <v/>
      </c>
      <c r="K82" s="13" t="str">
        <f t="shared" ref="K82" si="34">IF(I82="買", $E$1,"")</f>
        <v/>
      </c>
      <c r="L82" s="13" t="str">
        <f t="shared" ref="L82" si="35">IF(I82="売", $E$1,"")</f>
        <v/>
      </c>
      <c r="M82" s="13"/>
      <c r="N82" s="13" t="str">
        <f t="shared" si="30"/>
        <v/>
      </c>
      <c r="O82" s="13"/>
      <c r="P82" s="13"/>
      <c r="Q82" s="13" t="str">
        <f t="shared" ref="Q82" si="36">IF(AND(I82="買",P82&lt;&gt;""), P82-J82,IF(AND(I82="売",P82&lt;&gt;""), J82-P82,""))</f>
        <v/>
      </c>
      <c r="R82" s="13" t="str">
        <f t="shared" ref="R82" si="37">IF(OR(Q82="",Q82=0),"",IF(Q82&gt;0,"利確",IF(Q82&lt;0,"損切","")))</f>
        <v/>
      </c>
      <c r="T82" s="13"/>
      <c r="U82" s="13"/>
      <c r="V82" s="13"/>
    </row>
    <row r="83" spans="1:22">
      <c r="A83" s="1"/>
      <c r="B83" s="1"/>
      <c r="C83" s="1"/>
      <c r="D83" s="1"/>
      <c r="E83" s="1"/>
      <c r="F83" s="1"/>
      <c r="G83" t="str">
        <f t="shared" ref="G83:G106" si="38">IF(ISNUMBER(F83)=FALSE,"",HOUR(B83)*100+MINUTE(B83))</f>
        <v/>
      </c>
      <c r="H83" s="18"/>
      <c r="I83" s="18" t="str">
        <f t="shared" ref="I83" si="39">IF(AND(D83&gt;=H83,H83&gt;=E83,F83&gt;H83, H83&lt;&gt;"",G84&lt;&gt;""),"買",IF(AND(D83&gt;=H83,H83&gt;=E83,F83&lt;H83, H83&lt;&gt;"",G84&lt;&gt;""),"売",""))</f>
        <v/>
      </c>
    </row>
    <row r="84" spans="1:22">
      <c r="G84" t="str">
        <f t="shared" si="38"/>
        <v/>
      </c>
      <c r="H84" s="18"/>
    </row>
    <row r="85" spans="1:22">
      <c r="A85" s="1"/>
      <c r="B85" s="1"/>
      <c r="C85" s="1"/>
      <c r="D85" s="1"/>
      <c r="E85" s="1"/>
      <c r="F85" s="1"/>
      <c r="G85" t="str">
        <f t="shared" si="38"/>
        <v/>
      </c>
      <c r="H85" s="18"/>
    </row>
    <row r="86" spans="1:22">
      <c r="A86" s="1"/>
      <c r="B86" s="1"/>
      <c r="C86" s="1"/>
      <c r="D86" s="1"/>
      <c r="E86" s="1"/>
      <c r="F86" s="1"/>
      <c r="G86" t="str">
        <f t="shared" si="38"/>
        <v/>
      </c>
      <c r="H86" s="18"/>
    </row>
    <row r="87" spans="1:22">
      <c r="A87" s="1"/>
      <c r="B87" s="1"/>
      <c r="C87" s="1"/>
      <c r="D87" s="1"/>
      <c r="E87" s="1"/>
      <c r="F87" s="1"/>
      <c r="G87" t="str">
        <f t="shared" si="38"/>
        <v/>
      </c>
      <c r="H87" s="18"/>
    </row>
    <row r="88" spans="1:22">
      <c r="G88" t="str">
        <f t="shared" si="38"/>
        <v/>
      </c>
      <c r="H88" s="18"/>
    </row>
    <row r="89" spans="1:22">
      <c r="A89" s="1"/>
      <c r="B89" s="1"/>
      <c r="C89" s="1"/>
      <c r="D89" s="1"/>
      <c r="E89" s="1"/>
      <c r="F89" s="1"/>
      <c r="G89" t="str">
        <f t="shared" si="38"/>
        <v/>
      </c>
      <c r="H89" s="18"/>
    </row>
    <row r="90" spans="1:22">
      <c r="G90" t="str">
        <f t="shared" si="38"/>
        <v/>
      </c>
      <c r="H90" s="18"/>
    </row>
    <row r="91" spans="1:22">
      <c r="G91" t="str">
        <f t="shared" si="38"/>
        <v/>
      </c>
      <c r="H91" s="18"/>
    </row>
    <row r="92" spans="1:22">
      <c r="G92" t="str">
        <f t="shared" si="38"/>
        <v/>
      </c>
      <c r="H92" s="18"/>
    </row>
    <row r="93" spans="1:22">
      <c r="G93" t="str">
        <f t="shared" si="38"/>
        <v/>
      </c>
      <c r="H93" s="18"/>
    </row>
    <row r="94" spans="1:22">
      <c r="G94" t="str">
        <f t="shared" si="38"/>
        <v/>
      </c>
      <c r="H94" s="18"/>
    </row>
    <row r="95" spans="1:22">
      <c r="G95" t="str">
        <f t="shared" si="38"/>
        <v/>
      </c>
      <c r="H95" s="18"/>
    </row>
    <row r="96" spans="1:22">
      <c r="G96" t="str">
        <f t="shared" si="38"/>
        <v/>
      </c>
      <c r="H96" s="18"/>
    </row>
    <row r="97" spans="1:8">
      <c r="A97" s="1"/>
      <c r="B97" s="1"/>
      <c r="C97" s="1"/>
      <c r="D97" s="1"/>
      <c r="E97" s="1"/>
      <c r="F97" s="1"/>
      <c r="G97" t="str">
        <f t="shared" si="38"/>
        <v/>
      </c>
      <c r="H97" s="18"/>
    </row>
    <row r="98" spans="1:8">
      <c r="G98" t="str">
        <f t="shared" si="38"/>
        <v/>
      </c>
      <c r="H98" s="18"/>
    </row>
    <row r="99" spans="1:8">
      <c r="G99" t="str">
        <f t="shared" si="38"/>
        <v/>
      </c>
      <c r="H99" s="18"/>
    </row>
    <row r="100" spans="1:8">
      <c r="G100" t="str">
        <f t="shared" si="38"/>
        <v/>
      </c>
      <c r="H100" s="18"/>
    </row>
    <row r="101" spans="1:8">
      <c r="G101" t="str">
        <f t="shared" si="38"/>
        <v/>
      </c>
      <c r="H101" s="18"/>
    </row>
    <row r="102" spans="1:8">
      <c r="G102" t="str">
        <f t="shared" si="38"/>
        <v/>
      </c>
      <c r="H102" s="18"/>
    </row>
    <row r="103" spans="1:8">
      <c r="G103" t="str">
        <f t="shared" si="38"/>
        <v/>
      </c>
      <c r="H103" s="18"/>
    </row>
    <row r="104" spans="1:8">
      <c r="G104" t="str">
        <f t="shared" si="38"/>
        <v/>
      </c>
      <c r="H104" s="18"/>
    </row>
    <row r="105" spans="1:8">
      <c r="G105" t="str">
        <f t="shared" si="38"/>
        <v/>
      </c>
      <c r="H105" s="18"/>
    </row>
    <row r="106" spans="1:8">
      <c r="A106" s="1"/>
      <c r="B106" s="1"/>
      <c r="C106" s="1"/>
      <c r="D106" s="1"/>
      <c r="E106" s="1"/>
      <c r="F106" s="1"/>
      <c r="G106" t="str">
        <f t="shared" si="38"/>
        <v/>
      </c>
      <c r="H106" s="18"/>
    </row>
    <row r="107" spans="1:8">
      <c r="A107" s="1"/>
      <c r="B107" s="1"/>
      <c r="C107" s="1"/>
      <c r="D107" s="1"/>
      <c r="E107" s="1"/>
      <c r="F107" s="1"/>
      <c r="H107" s="18"/>
    </row>
    <row r="108" spans="1:8">
      <c r="H108" s="18"/>
    </row>
    <row r="109" spans="1:8">
      <c r="H109" s="18"/>
    </row>
    <row r="110" spans="1:8">
      <c r="H110" s="18"/>
    </row>
    <row r="111" spans="1:8">
      <c r="H111" s="18"/>
    </row>
    <row r="112" spans="1:8">
      <c r="H112" s="18"/>
    </row>
    <row r="113" spans="1:8">
      <c r="H113" s="18"/>
    </row>
    <row r="114" spans="1:8">
      <c r="H114" s="18"/>
    </row>
    <row r="115" spans="1:8">
      <c r="H115" s="18"/>
    </row>
    <row r="116" spans="1:8">
      <c r="H116" s="18"/>
    </row>
    <row r="117" spans="1:8">
      <c r="H117" s="18"/>
    </row>
    <row r="118" spans="1:8">
      <c r="H118" s="18"/>
    </row>
    <row r="119" spans="1:8">
      <c r="H119" s="18"/>
    </row>
    <row r="120" spans="1:8">
      <c r="H120" s="18"/>
    </row>
    <row r="121" spans="1:8">
      <c r="H121" s="18"/>
    </row>
    <row r="122" spans="1:8">
      <c r="H122" s="18"/>
    </row>
    <row r="123" spans="1:8">
      <c r="H123" s="18"/>
    </row>
    <row r="124" spans="1:8">
      <c r="H124" s="18"/>
    </row>
    <row r="125" spans="1:8">
      <c r="H125" s="18"/>
    </row>
    <row r="126" spans="1:8">
      <c r="H126" s="18"/>
    </row>
    <row r="127" spans="1:8">
      <c r="A127" s="1"/>
      <c r="B127" s="1"/>
      <c r="C127" s="1"/>
      <c r="D127" s="1"/>
      <c r="E127" s="1"/>
      <c r="F127" s="1"/>
      <c r="H127" s="18"/>
    </row>
    <row r="128" spans="1:8">
      <c r="H128" s="18"/>
    </row>
    <row r="129" spans="8:8">
      <c r="H129" s="18"/>
    </row>
    <row r="130" spans="8:8">
      <c r="H130" s="18"/>
    </row>
    <row r="131" spans="8:8">
      <c r="H131" s="18"/>
    </row>
    <row r="132" spans="8:8">
      <c r="H132" s="18"/>
    </row>
    <row r="133" spans="8:8">
      <c r="H133" s="18"/>
    </row>
    <row r="134" spans="8:8">
      <c r="H134" s="18"/>
    </row>
    <row r="135" spans="8:8">
      <c r="H135" s="18"/>
    </row>
    <row r="136" spans="8:8">
      <c r="H136" s="18"/>
    </row>
    <row r="137" spans="8:8">
      <c r="H137" s="18"/>
    </row>
    <row r="138" spans="8:8">
      <c r="H138" s="18"/>
    </row>
    <row r="139" spans="8:8">
      <c r="H139" s="18"/>
    </row>
    <row r="140" spans="8:8">
      <c r="H140" s="18"/>
    </row>
    <row r="141" spans="8:8">
      <c r="H141" s="18"/>
    </row>
    <row r="142" spans="8:8">
      <c r="H142" s="18"/>
    </row>
    <row r="143" spans="8:8">
      <c r="H143" s="18"/>
    </row>
    <row r="144" spans="8:8">
      <c r="H144" s="18"/>
    </row>
    <row r="145" spans="8:8">
      <c r="H145" s="18"/>
    </row>
    <row r="146" spans="8:8">
      <c r="H146" s="18"/>
    </row>
    <row r="147" spans="8:8">
      <c r="H147" s="18"/>
    </row>
    <row r="148" spans="8:8">
      <c r="H148" s="18"/>
    </row>
    <row r="149" spans="8:8">
      <c r="H149" s="18"/>
    </row>
    <row r="150" spans="8:8">
      <c r="H150" s="18"/>
    </row>
    <row r="151" spans="8:8">
      <c r="H151" s="18"/>
    </row>
    <row r="152" spans="8:8">
      <c r="H152" s="18"/>
    </row>
    <row r="153" spans="8:8">
      <c r="H153" s="18"/>
    </row>
    <row r="154" spans="8:8">
      <c r="H154" s="18"/>
    </row>
    <row r="155" spans="8:8">
      <c r="H155" s="18"/>
    </row>
    <row r="156" spans="8:8">
      <c r="H156" s="18"/>
    </row>
    <row r="157" spans="8:8">
      <c r="H157" s="18"/>
    </row>
    <row r="158" spans="8:8">
      <c r="H158" s="18"/>
    </row>
    <row r="159" spans="8:8">
      <c r="H159" s="18"/>
    </row>
    <row r="160" spans="8:8">
      <c r="H160" s="18"/>
    </row>
    <row r="161" spans="8:8">
      <c r="H161" s="18"/>
    </row>
    <row r="162" spans="8:8">
      <c r="H162" s="18"/>
    </row>
    <row r="163" spans="8:8">
      <c r="H163" s="18"/>
    </row>
    <row r="164" spans="8:8">
      <c r="H164" s="18"/>
    </row>
    <row r="165" spans="8:8">
      <c r="H165" s="18"/>
    </row>
    <row r="166" spans="8:8">
      <c r="H166" s="18"/>
    </row>
    <row r="167" spans="8:8">
      <c r="H167" s="18"/>
    </row>
    <row r="168" spans="8:8">
      <c r="H168" s="18"/>
    </row>
    <row r="169" spans="8:8">
      <c r="H169" s="18"/>
    </row>
    <row r="170" spans="8:8">
      <c r="H170" s="18"/>
    </row>
    <row r="171" spans="8:8">
      <c r="H171" s="18"/>
    </row>
    <row r="172" spans="8:8">
      <c r="H172" s="18"/>
    </row>
    <row r="173" spans="8:8">
      <c r="H173" s="18"/>
    </row>
    <row r="174" spans="8:8">
      <c r="H174" s="18"/>
    </row>
    <row r="175" spans="8:8">
      <c r="H175" s="18"/>
    </row>
    <row r="176" spans="8:8">
      <c r="H176" s="18"/>
    </row>
    <row r="177" spans="8:8">
      <c r="H177" s="18"/>
    </row>
    <row r="178" spans="8:8">
      <c r="H178" s="18"/>
    </row>
    <row r="179" spans="8:8">
      <c r="H179" s="18"/>
    </row>
    <row r="180" spans="8:8">
      <c r="H180" s="18"/>
    </row>
    <row r="181" spans="8:8">
      <c r="H181" s="18"/>
    </row>
    <row r="182" spans="8:8">
      <c r="H182" s="18"/>
    </row>
    <row r="183" spans="8:8">
      <c r="H183" s="18"/>
    </row>
    <row r="184" spans="8:8">
      <c r="H184" s="18"/>
    </row>
    <row r="185" spans="8:8">
      <c r="H185" s="18"/>
    </row>
    <row r="186" spans="8:8">
      <c r="H186" s="18"/>
    </row>
    <row r="187" spans="8:8">
      <c r="H187" s="18"/>
    </row>
    <row r="188" spans="8:8">
      <c r="H188" s="18"/>
    </row>
    <row r="189" spans="8:8">
      <c r="H189" s="18"/>
    </row>
    <row r="190" spans="8:8">
      <c r="H190" s="18"/>
    </row>
    <row r="191" spans="8:8">
      <c r="H191" s="18"/>
    </row>
    <row r="192" spans="8:8">
      <c r="H192" s="18"/>
    </row>
    <row r="193" spans="8:8">
      <c r="H193" s="18"/>
    </row>
    <row r="194" spans="8:8">
      <c r="H194" s="18"/>
    </row>
    <row r="195" spans="8:8">
      <c r="H195" s="18"/>
    </row>
    <row r="196" spans="8:8">
      <c r="H196" s="18"/>
    </row>
    <row r="197" spans="8:8">
      <c r="H197" s="18"/>
    </row>
    <row r="198" spans="8:8">
      <c r="H198" s="18"/>
    </row>
    <row r="199" spans="8:8">
      <c r="H199" s="18"/>
    </row>
    <row r="200" spans="8:8">
      <c r="H200" s="18"/>
    </row>
    <row r="201" spans="8:8">
      <c r="H201" s="18"/>
    </row>
    <row r="202" spans="8:8">
      <c r="H202" s="18"/>
    </row>
    <row r="203" spans="8:8">
      <c r="H203" s="18"/>
    </row>
    <row r="204" spans="8:8">
      <c r="H204" s="18"/>
    </row>
    <row r="205" spans="8:8">
      <c r="H205" s="18"/>
    </row>
    <row r="206" spans="8:8">
      <c r="H206" s="18"/>
    </row>
    <row r="207" spans="8:8">
      <c r="H207" s="18"/>
    </row>
    <row r="208" spans="8:8">
      <c r="H208" s="18"/>
    </row>
    <row r="209" spans="8:8">
      <c r="H209" s="18"/>
    </row>
    <row r="210" spans="8:8">
      <c r="H210" s="18"/>
    </row>
    <row r="211" spans="8:8">
      <c r="H211" s="18"/>
    </row>
    <row r="212" spans="8:8">
      <c r="H212" s="18"/>
    </row>
    <row r="213" spans="8:8">
      <c r="H213" s="18"/>
    </row>
    <row r="214" spans="8:8">
      <c r="H214" s="18"/>
    </row>
    <row r="215" spans="8:8">
      <c r="H215" s="18"/>
    </row>
    <row r="216" spans="8:8">
      <c r="H216" s="18"/>
    </row>
    <row r="217" spans="8:8">
      <c r="H217" s="18"/>
    </row>
    <row r="218" spans="8:8">
      <c r="H218" s="18"/>
    </row>
    <row r="219" spans="8:8">
      <c r="H219" s="18"/>
    </row>
    <row r="220" spans="8:8">
      <c r="H220" s="18"/>
    </row>
    <row r="221" spans="8:8">
      <c r="H221" s="18"/>
    </row>
    <row r="222" spans="8:8">
      <c r="H222" s="18"/>
    </row>
    <row r="223" spans="8:8">
      <c r="H223" s="18"/>
    </row>
    <row r="224" spans="8:8">
      <c r="H224" s="18"/>
    </row>
    <row r="225" spans="8:8">
      <c r="H225" s="18"/>
    </row>
    <row r="226" spans="8:8">
      <c r="H226" s="18"/>
    </row>
    <row r="227" spans="8:8">
      <c r="H227" s="18"/>
    </row>
    <row r="228" spans="8:8">
      <c r="H228" s="18"/>
    </row>
    <row r="229" spans="8:8">
      <c r="H229" s="18"/>
    </row>
    <row r="230" spans="8:8">
      <c r="H230" s="18"/>
    </row>
    <row r="231" spans="8:8">
      <c r="H231" s="18"/>
    </row>
    <row r="232" spans="8:8">
      <c r="H232" s="18"/>
    </row>
    <row r="233" spans="8:8">
      <c r="H233" s="18"/>
    </row>
    <row r="234" spans="8:8">
      <c r="H234" s="18"/>
    </row>
    <row r="235" spans="8:8">
      <c r="H235" s="18"/>
    </row>
    <row r="236" spans="8:8">
      <c r="H236" s="18"/>
    </row>
    <row r="237" spans="8:8">
      <c r="H237" s="18"/>
    </row>
    <row r="238" spans="8:8">
      <c r="H238" s="18"/>
    </row>
    <row r="239" spans="8:8">
      <c r="H239" s="18"/>
    </row>
    <row r="240" spans="8:8">
      <c r="H240" s="18"/>
    </row>
    <row r="241" spans="8:8">
      <c r="H241" s="18"/>
    </row>
    <row r="242" spans="8:8">
      <c r="H242" s="18"/>
    </row>
    <row r="243" spans="8:8">
      <c r="H243" s="18"/>
    </row>
    <row r="244" spans="8:8">
      <c r="H244" s="18"/>
    </row>
    <row r="245" spans="8:8">
      <c r="H245" s="18"/>
    </row>
    <row r="246" spans="8:8">
      <c r="H246" s="18"/>
    </row>
    <row r="247" spans="8:8">
      <c r="H247" s="18"/>
    </row>
    <row r="248" spans="8:8">
      <c r="H248" s="18"/>
    </row>
    <row r="249" spans="8:8">
      <c r="H249" s="18"/>
    </row>
    <row r="250" spans="8:8">
      <c r="H250" s="18"/>
    </row>
    <row r="251" spans="8:8">
      <c r="H251" s="18"/>
    </row>
    <row r="252" spans="8:8">
      <c r="H252" s="18"/>
    </row>
    <row r="253" spans="8:8">
      <c r="H253" s="18"/>
    </row>
    <row r="254" spans="8:8">
      <c r="H254" s="18"/>
    </row>
    <row r="255" spans="8:8">
      <c r="H255" s="18"/>
    </row>
    <row r="256" spans="8:8">
      <c r="H256" s="18"/>
    </row>
    <row r="257" spans="8:8">
      <c r="H257" s="18"/>
    </row>
    <row r="258" spans="8:8">
      <c r="H258" s="18"/>
    </row>
    <row r="259" spans="8:8">
      <c r="H259" s="18"/>
    </row>
    <row r="260" spans="8:8">
      <c r="H260" s="18"/>
    </row>
    <row r="261" spans="8:8">
      <c r="H261" s="18"/>
    </row>
    <row r="262" spans="8:8">
      <c r="H262" s="18"/>
    </row>
    <row r="263" spans="8:8">
      <c r="H263" s="18"/>
    </row>
    <row r="264" spans="8:8">
      <c r="H264" s="18"/>
    </row>
    <row r="265" spans="8:8">
      <c r="H265" s="18"/>
    </row>
    <row r="266" spans="8:8">
      <c r="H266" s="18"/>
    </row>
    <row r="267" spans="8:8">
      <c r="H267" s="18"/>
    </row>
    <row r="268" spans="8:8">
      <c r="H268" s="18"/>
    </row>
    <row r="269" spans="8:8">
      <c r="H269" s="18"/>
    </row>
    <row r="270" spans="8:8">
      <c r="H270" s="18"/>
    </row>
    <row r="271" spans="8:8">
      <c r="H271" s="18"/>
    </row>
    <row r="272" spans="8:8">
      <c r="H272" s="18"/>
    </row>
    <row r="273" spans="8:8">
      <c r="H273" s="18"/>
    </row>
    <row r="274" spans="8:8">
      <c r="H274" s="18"/>
    </row>
    <row r="275" spans="8:8">
      <c r="H275" s="18"/>
    </row>
    <row r="276" spans="8:8">
      <c r="H276" s="18"/>
    </row>
    <row r="277" spans="8:8">
      <c r="H277" s="18"/>
    </row>
    <row r="278" spans="8:8">
      <c r="H278" s="18"/>
    </row>
    <row r="279" spans="8:8">
      <c r="H279" s="18"/>
    </row>
    <row r="280" spans="8:8">
      <c r="H280" s="18"/>
    </row>
    <row r="281" spans="8:8">
      <c r="H281" s="18"/>
    </row>
    <row r="282" spans="8:8">
      <c r="H282" s="18"/>
    </row>
    <row r="283" spans="8:8">
      <c r="H283" s="18"/>
    </row>
    <row r="284" spans="8:8">
      <c r="H284" s="18"/>
    </row>
    <row r="285" spans="8:8">
      <c r="H285" s="18"/>
    </row>
    <row r="286" spans="8:8">
      <c r="H286" s="18"/>
    </row>
    <row r="287" spans="8:8">
      <c r="H287" s="18"/>
    </row>
    <row r="288" spans="8:8">
      <c r="H288" s="18"/>
    </row>
    <row r="289" spans="8:8">
      <c r="H289" s="18"/>
    </row>
    <row r="290" spans="8:8">
      <c r="H290" s="18"/>
    </row>
    <row r="291" spans="8:8">
      <c r="H291" s="18"/>
    </row>
    <row r="292" spans="8:8">
      <c r="H292" s="18"/>
    </row>
    <row r="293" spans="8:8">
      <c r="H293" s="18"/>
    </row>
    <row r="294" spans="8:8">
      <c r="H294" s="18"/>
    </row>
    <row r="295" spans="8:8">
      <c r="H295" s="18"/>
    </row>
    <row r="296" spans="8:8">
      <c r="H296" s="18"/>
    </row>
    <row r="297" spans="8:8">
      <c r="H297" s="18"/>
    </row>
    <row r="298" spans="8:8">
      <c r="H298" s="18"/>
    </row>
    <row r="299" spans="8:8">
      <c r="H299" s="18"/>
    </row>
    <row r="300" spans="8:8">
      <c r="H300" s="18"/>
    </row>
    <row r="301" spans="8:8">
      <c r="H301" s="18"/>
    </row>
    <row r="302" spans="8:8">
      <c r="H302" s="18"/>
    </row>
    <row r="303" spans="8:8">
      <c r="H303" s="18"/>
    </row>
    <row r="304" spans="8:8">
      <c r="H304" s="18"/>
    </row>
    <row r="305" spans="8:8">
      <c r="H305" s="18"/>
    </row>
    <row r="306" spans="8:8">
      <c r="H306" s="18"/>
    </row>
    <row r="307" spans="8:8">
      <c r="H307" s="18"/>
    </row>
    <row r="308" spans="8:8">
      <c r="H308" s="18"/>
    </row>
    <row r="309" spans="8:8">
      <c r="H309" s="18"/>
    </row>
    <row r="310" spans="8:8">
      <c r="H310" s="18"/>
    </row>
    <row r="311" spans="8:8">
      <c r="H311" s="18"/>
    </row>
    <row r="312" spans="8:8">
      <c r="H312" s="18"/>
    </row>
    <row r="313" spans="8:8">
      <c r="H313" s="18"/>
    </row>
    <row r="314" spans="8:8">
      <c r="H314" s="18"/>
    </row>
    <row r="315" spans="8:8">
      <c r="H315" s="18"/>
    </row>
    <row r="316" spans="8:8">
      <c r="H316" s="18"/>
    </row>
    <row r="317" spans="8:8">
      <c r="H317" s="18"/>
    </row>
    <row r="318" spans="8:8">
      <c r="H318" s="18"/>
    </row>
    <row r="319" spans="8:8">
      <c r="H319" s="18"/>
    </row>
    <row r="320" spans="8:8">
      <c r="H320" s="18"/>
    </row>
    <row r="321" spans="8:8">
      <c r="H321" s="18"/>
    </row>
    <row r="322" spans="8:8">
      <c r="H322" s="18"/>
    </row>
    <row r="323" spans="8:8">
      <c r="H323" s="18"/>
    </row>
    <row r="324" spans="8:8">
      <c r="H324" s="18"/>
    </row>
    <row r="325" spans="8:8">
      <c r="H325" s="18"/>
    </row>
    <row r="326" spans="8:8">
      <c r="H326" s="18"/>
    </row>
    <row r="327" spans="8:8">
      <c r="H327" s="18"/>
    </row>
    <row r="328" spans="8:8">
      <c r="H328" s="18"/>
    </row>
    <row r="329" spans="8:8">
      <c r="H329" s="18"/>
    </row>
    <row r="330" spans="8:8">
      <c r="H330" s="18"/>
    </row>
    <row r="331" spans="8:8">
      <c r="H331" s="18"/>
    </row>
    <row r="332" spans="8:8">
      <c r="H332" s="18"/>
    </row>
    <row r="333" spans="8:8">
      <c r="H333" s="18"/>
    </row>
    <row r="334" spans="8:8">
      <c r="H334" s="18"/>
    </row>
    <row r="335" spans="8:8">
      <c r="H335" s="18"/>
    </row>
    <row r="336" spans="8:8">
      <c r="H336" s="18"/>
    </row>
    <row r="337" spans="8:8">
      <c r="H337" s="18"/>
    </row>
    <row r="338" spans="8:8">
      <c r="H338" s="18"/>
    </row>
    <row r="339" spans="8:8">
      <c r="H339" s="18"/>
    </row>
    <row r="340" spans="8:8">
      <c r="H340" s="18"/>
    </row>
    <row r="341" spans="8:8">
      <c r="H341" s="18"/>
    </row>
    <row r="342" spans="8:8">
      <c r="H342" s="18"/>
    </row>
    <row r="343" spans="8:8">
      <c r="H343" s="18"/>
    </row>
    <row r="344" spans="8:8">
      <c r="H344" s="18"/>
    </row>
    <row r="345" spans="8:8">
      <c r="H345" s="18"/>
    </row>
    <row r="346" spans="8:8">
      <c r="H346" s="18"/>
    </row>
    <row r="347" spans="8:8">
      <c r="H347" s="18"/>
    </row>
    <row r="348" spans="8:8">
      <c r="H348" s="18"/>
    </row>
    <row r="349" spans="8:8">
      <c r="H349" s="18"/>
    </row>
    <row r="350" spans="8:8">
      <c r="H350" s="18"/>
    </row>
    <row r="351" spans="8:8">
      <c r="H351" s="18"/>
    </row>
    <row r="352" spans="8:8">
      <c r="H352" s="18"/>
    </row>
    <row r="353" spans="8:8">
      <c r="H353" s="18"/>
    </row>
    <row r="354" spans="8:8">
      <c r="H354" s="18"/>
    </row>
    <row r="355" spans="8:8">
      <c r="H355" s="18"/>
    </row>
    <row r="356" spans="8:8">
      <c r="H356" s="18"/>
    </row>
    <row r="357" spans="8:8">
      <c r="H357" s="18"/>
    </row>
    <row r="358" spans="8:8">
      <c r="H358" s="18"/>
    </row>
    <row r="359" spans="8:8">
      <c r="H359" s="18"/>
    </row>
    <row r="360" spans="8:8">
      <c r="H360" s="18"/>
    </row>
    <row r="361" spans="8:8">
      <c r="H361" s="18"/>
    </row>
    <row r="362" spans="8:8">
      <c r="H362" s="18"/>
    </row>
    <row r="363" spans="8:8">
      <c r="H363" s="18"/>
    </row>
    <row r="364" spans="8:8">
      <c r="H364" s="18"/>
    </row>
    <row r="365" spans="8:8">
      <c r="H365" s="18"/>
    </row>
    <row r="366" spans="8:8">
      <c r="H366" s="18"/>
    </row>
    <row r="367" spans="8:8">
      <c r="H367" s="18"/>
    </row>
    <row r="368" spans="8:8">
      <c r="H368" s="18"/>
    </row>
    <row r="369" spans="8:8">
      <c r="H369" s="18"/>
    </row>
    <row r="370" spans="8:8">
      <c r="H370" s="18"/>
    </row>
    <row r="371" spans="8:8">
      <c r="H371" s="18"/>
    </row>
    <row r="372" spans="8:8">
      <c r="H372" s="18"/>
    </row>
    <row r="373" spans="8:8">
      <c r="H373" s="18"/>
    </row>
    <row r="374" spans="8:8">
      <c r="H374" s="18"/>
    </row>
    <row r="375" spans="8:8">
      <c r="H375" s="18"/>
    </row>
    <row r="376" spans="8:8">
      <c r="H376" s="18"/>
    </row>
    <row r="377" spans="8:8">
      <c r="H377" s="18"/>
    </row>
    <row r="378" spans="8:8">
      <c r="H378" s="18"/>
    </row>
    <row r="379" spans="8:8">
      <c r="H379" s="18"/>
    </row>
    <row r="380" spans="8:8">
      <c r="H380" s="18"/>
    </row>
    <row r="381" spans="8:8">
      <c r="H381" s="18"/>
    </row>
    <row r="382" spans="8:8">
      <c r="H382" s="18"/>
    </row>
    <row r="383" spans="8:8">
      <c r="H383" s="18"/>
    </row>
    <row r="384" spans="8:8">
      <c r="H384" s="18"/>
    </row>
    <row r="385" spans="8:8">
      <c r="H385" s="18"/>
    </row>
    <row r="386" spans="8:8">
      <c r="H386" s="18"/>
    </row>
    <row r="387" spans="8:8">
      <c r="H387" s="18"/>
    </row>
    <row r="388" spans="8:8">
      <c r="H388" s="18"/>
    </row>
    <row r="389" spans="8:8">
      <c r="H389" s="18"/>
    </row>
    <row r="390" spans="8:8">
      <c r="H390" s="18"/>
    </row>
    <row r="391" spans="8:8">
      <c r="H391" s="18"/>
    </row>
    <row r="392" spans="8:8">
      <c r="H392" s="18"/>
    </row>
    <row r="393" spans="8:8">
      <c r="H393" s="18"/>
    </row>
    <row r="394" spans="8:8">
      <c r="H394" s="18"/>
    </row>
    <row r="395" spans="8:8">
      <c r="H395" s="18"/>
    </row>
    <row r="396" spans="8:8">
      <c r="H396" s="18"/>
    </row>
    <row r="397" spans="8:8">
      <c r="H397" s="18"/>
    </row>
    <row r="398" spans="8:8">
      <c r="H398" s="18"/>
    </row>
    <row r="399" spans="8:8">
      <c r="H399" s="18"/>
    </row>
    <row r="400" spans="8:8">
      <c r="H400" s="18"/>
    </row>
    <row r="401" spans="8:8">
      <c r="H401" s="18"/>
    </row>
  </sheetData>
  <sheetProtection selectLockedCells="1" selectUnlockedCells="1"/>
  <mergeCells count="7">
    <mergeCell ref="J3:K3"/>
    <mergeCell ref="J4:K4"/>
    <mergeCell ref="G2:O2"/>
    <mergeCell ref="G1:O1"/>
    <mergeCell ref="U6:V6"/>
    <mergeCell ref="A5:R5"/>
    <mergeCell ref="T5:V5"/>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トレード">
                <anchor moveWithCells="1" sizeWithCells="1">
                  <from>
                    <xdr:col>15</xdr:col>
                    <xdr:colOff>347663</xdr:colOff>
                    <xdr:row>1</xdr:row>
                    <xdr:rowOff>157163</xdr:rowOff>
                  </from>
                  <to>
                    <xdr:col>17</xdr:col>
                    <xdr:colOff>328613</xdr:colOff>
                    <xdr:row>3</xdr:row>
                    <xdr:rowOff>109538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D2B6F-069A-4D94-B05A-A740A22B2F20}">
  <sheetPr codeName="Sheet4"/>
  <dimension ref="A3:O13"/>
  <sheetViews>
    <sheetView topLeftCell="A2" zoomScale="75" workbookViewId="0">
      <selection activeCell="F21" sqref="F21"/>
    </sheetView>
  </sheetViews>
  <sheetFormatPr defaultRowHeight="17.649999999999999"/>
  <cols>
    <col min="2" max="2" width="10.75" bestFit="1" customWidth="1"/>
    <col min="7" max="7" width="16.0625" customWidth="1"/>
  </cols>
  <sheetData>
    <row r="3" spans="1:15">
      <c r="G3" t="s">
        <v>154</v>
      </c>
    </row>
    <row r="4" spans="1:15">
      <c r="A4" s="20" t="s">
        <v>148</v>
      </c>
      <c r="B4" s="13">
        <f>COUNTIF(main!R7:R82,"損切")</f>
        <v>1</v>
      </c>
      <c r="D4" s="20" t="s">
        <v>150</v>
      </c>
      <c r="E4" s="13">
        <f>SUMIF(main!R7:R82,"=損切",main!Q7:Q82)</f>
        <v>-70</v>
      </c>
      <c r="G4" t="str" cm="1">
        <f t="array" ref="G4">_xll.RssOrderIDList($G$5:$I$5)</f>
        <v>=RssOrderIDList($G$5:$I$5) =&gt; 配信中</v>
      </c>
    </row>
    <row r="5" spans="1:15">
      <c r="A5" s="20" t="s">
        <v>149</v>
      </c>
      <c r="B5" s="13">
        <f>COUNTIF(main!R7:R82,"利確")</f>
        <v>0</v>
      </c>
      <c r="D5" s="20" t="s">
        <v>151</v>
      </c>
      <c r="E5" s="13">
        <f>SUMIF(main!R7:R82,"=利確",main!Q7:Q82)</f>
        <v>0</v>
      </c>
      <c r="G5" s="13" t="s">
        <v>17</v>
      </c>
      <c r="H5" s="13" t="s">
        <v>152</v>
      </c>
      <c r="I5" s="13" t="s">
        <v>153</v>
      </c>
    </row>
    <row r="6" spans="1:15">
      <c r="G6" s="1">
        <v>260807358</v>
      </c>
      <c r="H6" s="1" t="s">
        <v>183</v>
      </c>
      <c r="I6" s="1" t="s">
        <v>168</v>
      </c>
    </row>
    <row r="7" spans="1:15">
      <c r="A7" s="20" t="s">
        <v>160</v>
      </c>
      <c r="B7" s="36">
        <f>IF(B5=0,0,B5/(B5+B4)*100)</f>
        <v>0</v>
      </c>
      <c r="D7" s="20" t="s">
        <v>159</v>
      </c>
      <c r="E7" s="13">
        <f>E5+E4</f>
        <v>-70</v>
      </c>
      <c r="G7" s="1">
        <v>260812358</v>
      </c>
      <c r="H7" s="1" t="s">
        <v>185</v>
      </c>
      <c r="I7" s="1" t="s">
        <v>168</v>
      </c>
      <c r="L7" s="1"/>
      <c r="M7" s="1"/>
      <c r="N7" s="1"/>
      <c r="O7" s="1"/>
    </row>
    <row r="8" spans="1:15">
      <c r="G8" s="1">
        <v>260812363</v>
      </c>
      <c r="H8" s="1" t="s">
        <v>185</v>
      </c>
      <c r="I8" s="1" t="s">
        <v>186</v>
      </c>
    </row>
    <row r="9" spans="1:15">
      <c r="G9" s="1">
        <v>145890500</v>
      </c>
      <c r="H9" s="1" t="s">
        <v>187</v>
      </c>
      <c r="I9" s="1" t="s">
        <v>168</v>
      </c>
    </row>
    <row r="10" spans="1:15">
      <c r="A10" s="1"/>
      <c r="G10" s="1">
        <v>145890501</v>
      </c>
      <c r="H10" s="1" t="s">
        <v>189</v>
      </c>
      <c r="I10" s="1" t="s">
        <v>168</v>
      </c>
    </row>
    <row r="11" spans="1:15">
      <c r="G11" s="1">
        <v>260813363</v>
      </c>
      <c r="H11" s="1" t="s">
        <v>190</v>
      </c>
      <c r="I11" s="1" t="s">
        <v>168</v>
      </c>
    </row>
    <row r="12" spans="1:15">
      <c r="G12" s="1">
        <v>145891502</v>
      </c>
      <c r="H12" s="1" t="s">
        <v>193</v>
      </c>
      <c r="I12" s="1" t="s">
        <v>168</v>
      </c>
    </row>
    <row r="13" spans="1:15">
      <c r="G13" s="1" t="s">
        <v>167</v>
      </c>
      <c r="H13" s="1" t="s">
        <v>167</v>
      </c>
      <c r="I13" s="1" t="s">
        <v>167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EA46C-7B84-4FEE-B68E-93E265073E73}">
  <sheetPr codeName="Sheet3"/>
  <dimension ref="A1:AA51"/>
  <sheetViews>
    <sheetView zoomScale="54" workbookViewId="0">
      <selection activeCell="D45" sqref="D45"/>
    </sheetView>
  </sheetViews>
  <sheetFormatPr defaultColWidth="9" defaultRowHeight="17.649999999999999"/>
  <cols>
    <col min="1" max="1" width="9.8125" style="27" customWidth="1"/>
    <col min="2" max="6" width="9" style="27"/>
    <col min="7" max="7" width="9" style="27" customWidth="1"/>
    <col min="8" max="8" width="9.4375" style="27" customWidth="1"/>
    <col min="9" max="11" width="9" style="27"/>
    <col min="12" max="12" width="10.375" style="27" customWidth="1"/>
    <col min="13" max="14" width="9" style="27"/>
    <col min="15" max="15" width="9.5625" style="27" customWidth="1"/>
    <col min="16" max="16384" width="9" style="27"/>
  </cols>
  <sheetData>
    <row r="1" spans="1:27">
      <c r="A1" s="55" t="s">
        <v>142</v>
      </c>
      <c r="B1" s="56"/>
      <c r="C1" s="56"/>
      <c r="D1" s="56"/>
      <c r="E1" s="56"/>
      <c r="F1" s="56"/>
      <c r="G1" s="56"/>
      <c r="H1" s="56"/>
      <c r="I1" s="28"/>
    </row>
    <row r="3" spans="1:27">
      <c r="A3" s="29" t="s">
        <v>126</v>
      </c>
      <c r="H3" s="29" t="s">
        <v>127</v>
      </c>
      <c r="O3" s="54" t="s">
        <v>139</v>
      </c>
      <c r="P3" s="54"/>
      <c r="V3" s="54" t="s">
        <v>140</v>
      </c>
      <c r="W3" s="54"/>
    </row>
    <row r="4" spans="1:27">
      <c r="A4" s="27" t="str" cm="1">
        <f t="array" ref="A4">_xll.RssMarginPositionList(A5:F5, main!B1, 発注!C44, 発注!C24, 3, 0)</f>
        <v>=RssMarginPositionList(A5:F5, main!B1, 発注!C44, 発注!C24, 3, 0) =&gt; 配信中</v>
      </c>
      <c r="H4" s="27" t="str" cm="1">
        <f t="array" ref="H4">_xll.RssMarginPositionList($H$5:$M$5, main!B1, 発注!C44, 発注!C24, 1, 0)</f>
        <v>=RssMarginPositionList($H$5:$M$5, main!B1, 発注!C44, 発注!C24, 1, 0) =&gt; 配信中</v>
      </c>
    </row>
    <row r="5" spans="1:27">
      <c r="A5" s="30" t="s">
        <v>6</v>
      </c>
      <c r="B5" s="30" t="s">
        <v>123</v>
      </c>
      <c r="C5" s="30" t="s">
        <v>124</v>
      </c>
      <c r="D5" s="30" t="s">
        <v>125</v>
      </c>
      <c r="E5" s="30" t="s">
        <v>106</v>
      </c>
      <c r="F5" s="30" t="s">
        <v>165</v>
      </c>
      <c r="H5" s="30" t="s">
        <v>6</v>
      </c>
      <c r="I5" s="30" t="s">
        <v>123</v>
      </c>
      <c r="J5" s="30" t="s">
        <v>124</v>
      </c>
      <c r="K5" s="30" t="s">
        <v>125</v>
      </c>
      <c r="L5" s="30" t="s">
        <v>106</v>
      </c>
      <c r="M5" s="30" t="s">
        <v>165</v>
      </c>
      <c r="O5" s="30" t="s">
        <v>6</v>
      </c>
      <c r="P5" s="30" t="s">
        <v>123</v>
      </c>
      <c r="Q5" s="30" t="s">
        <v>124</v>
      </c>
      <c r="R5" s="30" t="s">
        <v>125</v>
      </c>
      <c r="S5" s="30" t="s">
        <v>106</v>
      </c>
      <c r="T5" s="30" t="s">
        <v>165</v>
      </c>
      <c r="V5" s="30" t="s">
        <v>6</v>
      </c>
      <c r="W5" s="30" t="s">
        <v>123</v>
      </c>
      <c r="X5" s="30" t="s">
        <v>124</v>
      </c>
      <c r="Y5" s="30" t="s">
        <v>125</v>
      </c>
      <c r="Z5" s="30" t="s">
        <v>106</v>
      </c>
      <c r="AA5" s="30" t="s">
        <v>165</v>
      </c>
    </row>
    <row r="6" spans="1:27">
      <c r="A6" s="39" t="s">
        <v>167</v>
      </c>
      <c r="B6" s="39" t="s">
        <v>167</v>
      </c>
      <c r="C6" s="39" t="s">
        <v>167</v>
      </c>
      <c r="D6" s="39" t="s">
        <v>167</v>
      </c>
      <c r="E6" s="39" t="s">
        <v>167</v>
      </c>
      <c r="F6" s="39" t="s">
        <v>167</v>
      </c>
      <c r="G6" s="31"/>
      <c r="H6" s="39" t="s">
        <v>167</v>
      </c>
      <c r="I6" s="39" t="s">
        <v>167</v>
      </c>
      <c r="J6" s="39" t="s">
        <v>167</v>
      </c>
      <c r="K6" s="39" t="s">
        <v>167</v>
      </c>
      <c r="L6" s="39" t="s">
        <v>167</v>
      </c>
      <c r="M6" s="39" t="s">
        <v>167</v>
      </c>
      <c r="N6" s="31"/>
      <c r="O6" s="39" t="str" cm="1">
        <f t="array" ref="O6">_xlfn._xlws.FILTER(A6:F50,A6:A50=main!$B$1,"")</f>
        <v/>
      </c>
      <c r="P6" s="39"/>
      <c r="Q6" s="39"/>
      <c r="R6" s="39"/>
      <c r="S6" s="39"/>
      <c r="T6" s="40"/>
      <c r="U6" s="31"/>
      <c r="V6" s="39" t="str" cm="1">
        <f t="array" ref="V6">_xlfn._xlws.FILTER(H6:M50,H6:H50=main!B1,"")</f>
        <v/>
      </c>
      <c r="W6" s="39"/>
      <c r="X6" s="39"/>
      <c r="Y6" s="39"/>
      <c r="Z6" s="39"/>
    </row>
    <row r="7" spans="1:27">
      <c r="A7" s="39"/>
      <c r="B7" s="39"/>
      <c r="C7" s="39"/>
      <c r="D7" s="39"/>
      <c r="E7" s="39"/>
      <c r="F7" s="39"/>
      <c r="G7" s="31"/>
      <c r="H7" s="39"/>
      <c r="I7" s="39"/>
      <c r="J7" s="39"/>
      <c r="K7" s="39"/>
      <c r="L7" s="39"/>
      <c r="M7" s="39"/>
      <c r="N7" s="31"/>
      <c r="O7" s="40"/>
      <c r="P7" s="40"/>
      <c r="Q7" s="40"/>
      <c r="R7" s="40"/>
      <c r="S7" s="40"/>
      <c r="T7" s="40"/>
      <c r="U7" s="31"/>
      <c r="V7" s="40"/>
      <c r="W7" s="40"/>
      <c r="X7" s="40"/>
      <c r="Y7" s="40"/>
      <c r="Z7" s="40"/>
      <c r="AA7" s="40"/>
    </row>
    <row r="8" spans="1:27">
      <c r="A8" s="39"/>
      <c r="B8" s="39"/>
      <c r="C8" s="39"/>
      <c r="D8" s="39"/>
      <c r="E8" s="39"/>
      <c r="F8" s="40"/>
      <c r="G8" s="31"/>
      <c r="H8" s="39"/>
      <c r="I8" s="39"/>
      <c r="J8" s="39"/>
      <c r="K8" s="39"/>
      <c r="L8" s="39"/>
      <c r="M8" s="39"/>
      <c r="N8" s="31"/>
      <c r="O8" s="40"/>
      <c r="P8" s="40"/>
      <c r="Q8" s="40"/>
      <c r="R8" s="40"/>
      <c r="S8" s="40"/>
      <c r="T8" s="40"/>
      <c r="U8" s="31"/>
      <c r="V8" s="40"/>
      <c r="W8" s="40"/>
      <c r="X8" s="40"/>
      <c r="Y8" s="40"/>
      <c r="Z8" s="40"/>
      <c r="AA8" s="40"/>
    </row>
    <row r="9" spans="1:27">
      <c r="A9" s="40"/>
      <c r="B9" s="40"/>
      <c r="C9" s="40"/>
      <c r="D9" s="40"/>
      <c r="E9" s="40"/>
      <c r="F9" s="40"/>
      <c r="G9" s="31"/>
      <c r="H9" s="40"/>
      <c r="I9" s="40"/>
      <c r="J9" s="40"/>
      <c r="K9" s="40"/>
      <c r="L9" s="40"/>
      <c r="M9" s="40"/>
      <c r="N9" s="31"/>
      <c r="O9" s="40"/>
      <c r="P9" s="40"/>
      <c r="Q9" s="40"/>
      <c r="R9" s="40"/>
      <c r="S9" s="40"/>
      <c r="T9" s="40"/>
      <c r="U9" s="31"/>
      <c r="V9" s="40"/>
      <c r="W9" s="40"/>
      <c r="X9" s="40"/>
      <c r="Y9" s="40"/>
      <c r="Z9" s="40"/>
      <c r="AA9" s="40"/>
    </row>
    <row r="10" spans="1:27">
      <c r="A10" s="40"/>
      <c r="B10" s="41"/>
      <c r="C10" s="40"/>
      <c r="D10" s="40"/>
      <c r="E10" s="40"/>
      <c r="F10" s="40"/>
      <c r="G10" s="31"/>
      <c r="H10" s="40"/>
      <c r="I10" s="40"/>
      <c r="J10" s="40"/>
      <c r="K10" s="40"/>
      <c r="L10" s="40"/>
      <c r="M10" s="40"/>
      <c r="N10" s="31"/>
      <c r="O10" s="40"/>
      <c r="P10" s="40"/>
      <c r="Q10" s="40"/>
      <c r="R10" s="40"/>
      <c r="S10" s="40"/>
      <c r="T10" s="40"/>
      <c r="U10" s="31"/>
      <c r="V10" s="40"/>
      <c r="W10" s="40"/>
      <c r="X10" s="40"/>
      <c r="Y10" s="40"/>
      <c r="Z10" s="40"/>
      <c r="AA10" s="40"/>
    </row>
    <row r="11" spans="1:27">
      <c r="A11" s="40"/>
      <c r="B11" s="40"/>
      <c r="C11" s="40"/>
      <c r="D11" s="40"/>
      <c r="E11" s="40"/>
      <c r="F11" s="40"/>
      <c r="G11" s="31"/>
      <c r="H11" s="40"/>
      <c r="I11" s="40"/>
      <c r="J11" s="40"/>
      <c r="K11" s="40"/>
      <c r="L11" s="40"/>
      <c r="M11" s="40"/>
      <c r="N11" s="31" t="s">
        <v>132</v>
      </c>
      <c r="O11" s="40"/>
      <c r="P11" s="40"/>
      <c r="Q11" s="40"/>
      <c r="R11" s="40"/>
      <c r="S11" s="40"/>
      <c r="T11" s="40"/>
      <c r="U11" s="31"/>
      <c r="V11" s="40"/>
      <c r="W11" s="40"/>
      <c r="X11" s="40"/>
      <c r="Y11" s="40"/>
      <c r="Z11" s="40"/>
      <c r="AA11" s="40"/>
    </row>
    <row r="12" spans="1:27">
      <c r="A12" s="40"/>
      <c r="B12" s="40"/>
      <c r="C12" s="40"/>
      <c r="D12" s="40"/>
      <c r="E12" s="40"/>
      <c r="F12" s="40"/>
      <c r="G12" s="31"/>
      <c r="H12" s="40"/>
      <c r="I12" s="40"/>
      <c r="J12" s="40"/>
      <c r="K12" s="40"/>
      <c r="L12" s="40"/>
      <c r="M12" s="40"/>
      <c r="N12" s="31"/>
      <c r="O12" s="40"/>
      <c r="P12" s="40"/>
      <c r="Q12" s="40"/>
      <c r="R12" s="40"/>
      <c r="S12" s="40"/>
      <c r="T12" s="40"/>
      <c r="U12" s="31"/>
      <c r="V12" s="40"/>
      <c r="W12" s="40"/>
      <c r="X12" s="40"/>
      <c r="Y12" s="40"/>
      <c r="Z12" s="40"/>
      <c r="AA12" s="40"/>
    </row>
    <row r="13" spans="1:27">
      <c r="A13" s="40"/>
      <c r="B13" s="40"/>
      <c r="C13" s="40"/>
      <c r="D13" s="40"/>
      <c r="E13" s="40"/>
      <c r="F13" s="40"/>
      <c r="G13" s="31"/>
      <c r="H13" s="40"/>
      <c r="I13" s="40"/>
      <c r="J13" s="40"/>
      <c r="K13" s="40"/>
      <c r="L13" s="40"/>
      <c r="M13" s="40"/>
      <c r="N13" s="31"/>
      <c r="O13" s="40"/>
      <c r="P13" s="40"/>
      <c r="Q13" s="40"/>
      <c r="R13" s="40"/>
      <c r="S13" s="40"/>
      <c r="T13" s="40"/>
      <c r="U13" s="31"/>
      <c r="V13" s="40"/>
      <c r="W13" s="40"/>
      <c r="X13" s="40"/>
      <c r="Y13" s="40"/>
      <c r="Z13" s="40"/>
      <c r="AA13" s="40"/>
    </row>
    <row r="14" spans="1:27">
      <c r="A14" s="40"/>
      <c r="B14" s="40"/>
      <c r="C14" s="40"/>
      <c r="D14" s="40"/>
      <c r="E14" s="40"/>
      <c r="F14" s="40"/>
      <c r="G14" s="31"/>
      <c r="H14" s="40"/>
      <c r="I14" s="40"/>
      <c r="J14" s="40"/>
      <c r="K14" s="40"/>
      <c r="L14" s="40"/>
      <c r="M14" s="40"/>
      <c r="N14" s="31"/>
      <c r="O14" s="40"/>
      <c r="P14" s="40"/>
      <c r="Q14" s="40"/>
      <c r="R14" s="40"/>
      <c r="S14" s="40"/>
      <c r="T14" s="40"/>
      <c r="U14" s="31"/>
      <c r="V14" s="40"/>
      <c r="W14" s="40"/>
      <c r="X14" s="40"/>
      <c r="Y14" s="40"/>
      <c r="Z14" s="40"/>
      <c r="AA14" s="40"/>
    </row>
    <row r="15" spans="1:27">
      <c r="A15" s="40"/>
      <c r="B15" s="40"/>
      <c r="C15" s="40"/>
      <c r="D15" s="40"/>
      <c r="E15" s="40"/>
      <c r="F15" s="40"/>
      <c r="G15" s="31"/>
      <c r="H15" s="40"/>
      <c r="I15" s="40"/>
      <c r="J15" s="40"/>
      <c r="K15" s="40"/>
      <c r="L15" s="40"/>
      <c r="M15" s="40"/>
      <c r="N15" s="31"/>
      <c r="O15" s="40"/>
      <c r="P15" s="40"/>
      <c r="Q15" s="40"/>
      <c r="R15" s="40"/>
      <c r="S15" s="40"/>
      <c r="T15" s="40"/>
      <c r="U15" s="31"/>
      <c r="V15" s="40"/>
      <c r="W15" s="40"/>
      <c r="X15" s="40"/>
      <c r="Y15" s="40"/>
      <c r="Z15" s="40"/>
      <c r="AA15" s="40"/>
    </row>
    <row r="16" spans="1:27">
      <c r="A16" s="40"/>
      <c r="B16" s="40"/>
      <c r="C16" s="40"/>
      <c r="D16" s="40"/>
      <c r="E16" s="40"/>
      <c r="F16" s="40"/>
      <c r="G16" s="31"/>
      <c r="H16" s="40"/>
      <c r="I16" s="40"/>
      <c r="J16" s="40"/>
      <c r="K16" s="40"/>
      <c r="L16" s="40"/>
      <c r="M16" s="40"/>
      <c r="N16" s="31"/>
      <c r="O16" s="40"/>
      <c r="P16" s="40"/>
      <c r="Q16" s="40"/>
      <c r="R16" s="40"/>
      <c r="S16" s="40"/>
      <c r="T16" s="40"/>
      <c r="U16" s="31"/>
      <c r="V16" s="40"/>
      <c r="W16" s="40"/>
      <c r="X16" s="40"/>
      <c r="Y16" s="40"/>
      <c r="Z16" s="40"/>
      <c r="AA16" s="40"/>
    </row>
    <row r="17" spans="1:27">
      <c r="A17" s="40"/>
      <c r="B17" s="40"/>
      <c r="C17" s="40"/>
      <c r="D17" s="40"/>
      <c r="E17" s="40"/>
      <c r="F17" s="40"/>
      <c r="G17" s="31"/>
      <c r="H17" s="40"/>
      <c r="I17" s="40"/>
      <c r="J17" s="40"/>
      <c r="K17" s="40"/>
      <c r="L17" s="40"/>
      <c r="M17" s="40"/>
      <c r="N17" s="31"/>
      <c r="O17" s="40"/>
      <c r="P17" s="40"/>
      <c r="Q17" s="40"/>
      <c r="R17" s="40"/>
      <c r="S17" s="40"/>
      <c r="T17" s="40"/>
      <c r="U17" s="31"/>
      <c r="V17" s="40"/>
      <c r="W17" s="40"/>
      <c r="X17" s="40"/>
      <c r="Y17" s="40"/>
      <c r="Z17" s="40"/>
      <c r="AA17" s="40"/>
    </row>
    <row r="18" spans="1:27">
      <c r="A18" s="40"/>
      <c r="B18" s="40"/>
      <c r="C18" s="40"/>
      <c r="D18" s="40"/>
      <c r="E18" s="40"/>
      <c r="F18" s="40"/>
      <c r="G18" s="31"/>
      <c r="H18" s="40"/>
      <c r="I18" s="40"/>
      <c r="J18" s="40"/>
      <c r="K18" s="40"/>
      <c r="L18" s="40"/>
      <c r="M18" s="40"/>
      <c r="N18" s="31"/>
      <c r="O18" s="40"/>
      <c r="P18" s="40"/>
      <c r="Q18" s="40"/>
      <c r="R18" s="40"/>
      <c r="S18" s="40"/>
      <c r="T18" s="40"/>
      <c r="U18" s="31"/>
      <c r="V18" s="40"/>
      <c r="W18" s="40"/>
      <c r="X18" s="40"/>
      <c r="Y18" s="40"/>
      <c r="Z18" s="40"/>
      <c r="AA18" s="40"/>
    </row>
    <row r="19" spans="1:27">
      <c r="A19" s="40"/>
      <c r="B19" s="40"/>
      <c r="C19" s="40"/>
      <c r="D19" s="40"/>
      <c r="E19" s="40"/>
      <c r="F19" s="40"/>
      <c r="G19" s="31"/>
      <c r="H19" s="40"/>
      <c r="I19" s="40"/>
      <c r="J19" s="40"/>
      <c r="K19" s="40"/>
      <c r="L19" s="40"/>
      <c r="M19" s="40"/>
      <c r="N19" s="31"/>
      <c r="O19" s="40"/>
      <c r="P19" s="40"/>
      <c r="Q19" s="40"/>
      <c r="R19" s="40"/>
      <c r="S19" s="40"/>
      <c r="T19" s="40"/>
      <c r="U19" s="31"/>
      <c r="V19" s="40"/>
      <c r="W19" s="40"/>
      <c r="X19" s="40"/>
      <c r="Y19" s="40"/>
      <c r="Z19" s="40"/>
      <c r="AA19" s="40"/>
    </row>
    <row r="20" spans="1:27">
      <c r="A20" s="40"/>
      <c r="B20" s="40"/>
      <c r="C20" s="40"/>
      <c r="D20" s="40"/>
      <c r="E20" s="40"/>
      <c r="F20" s="40"/>
      <c r="G20" s="31"/>
      <c r="H20" s="40"/>
      <c r="I20" s="40"/>
      <c r="J20" s="40"/>
      <c r="K20" s="40"/>
      <c r="L20" s="40"/>
      <c r="M20" s="40"/>
      <c r="N20" s="31"/>
      <c r="O20" s="40"/>
      <c r="P20" s="40"/>
      <c r="Q20" s="40"/>
      <c r="R20" s="40"/>
      <c r="S20" s="40"/>
      <c r="T20" s="40"/>
      <c r="U20" s="31"/>
      <c r="V20" s="40"/>
      <c r="W20" s="40"/>
      <c r="X20" s="40"/>
      <c r="Y20" s="40"/>
      <c r="Z20" s="40"/>
      <c r="AA20" s="40"/>
    </row>
    <row r="21" spans="1:27">
      <c r="A21" s="40"/>
      <c r="B21" s="40"/>
      <c r="C21" s="40"/>
      <c r="D21" s="40"/>
      <c r="E21" s="40"/>
      <c r="F21" s="40"/>
      <c r="G21" s="31"/>
      <c r="H21" s="40"/>
      <c r="I21" s="40"/>
      <c r="J21" s="40"/>
      <c r="K21" s="40"/>
      <c r="L21" s="40"/>
      <c r="M21" s="40"/>
      <c r="N21" s="31"/>
      <c r="O21" s="40"/>
      <c r="P21" s="40"/>
      <c r="Q21" s="40"/>
      <c r="R21" s="40"/>
      <c r="S21" s="40"/>
      <c r="T21" s="40"/>
      <c r="U21" s="31"/>
      <c r="V21" s="40"/>
      <c r="W21" s="40"/>
      <c r="X21" s="40"/>
      <c r="Y21" s="40"/>
      <c r="Z21" s="40"/>
      <c r="AA21" s="40"/>
    </row>
    <row r="22" spans="1:27">
      <c r="A22" s="40"/>
      <c r="B22" s="40"/>
      <c r="C22" s="40"/>
      <c r="D22" s="40"/>
      <c r="E22" s="40"/>
      <c r="F22" s="40"/>
      <c r="G22" s="31"/>
      <c r="H22" s="40"/>
      <c r="I22" s="40"/>
      <c r="J22" s="40"/>
      <c r="K22" s="40"/>
      <c r="L22" s="40"/>
      <c r="M22" s="40"/>
      <c r="N22" s="31"/>
      <c r="O22" s="40"/>
      <c r="P22" s="40"/>
      <c r="Q22" s="40"/>
      <c r="R22" s="40"/>
      <c r="S22" s="40"/>
      <c r="T22" s="40"/>
      <c r="U22" s="31"/>
      <c r="V22" s="40"/>
      <c r="W22" s="40"/>
      <c r="X22" s="40"/>
      <c r="Y22" s="40"/>
      <c r="Z22" s="40"/>
      <c r="AA22" s="40"/>
    </row>
    <row r="23" spans="1:27">
      <c r="A23" s="40"/>
      <c r="B23" s="40"/>
      <c r="C23" s="40"/>
      <c r="D23" s="40"/>
      <c r="E23" s="40"/>
      <c r="F23" s="40"/>
      <c r="G23" s="31"/>
      <c r="H23" s="40"/>
      <c r="I23" s="40"/>
      <c r="J23" s="40"/>
      <c r="K23" s="40"/>
      <c r="L23" s="40"/>
      <c r="M23" s="40"/>
      <c r="N23" s="31"/>
      <c r="O23" s="40"/>
      <c r="P23" s="40"/>
      <c r="Q23" s="40"/>
      <c r="R23" s="40"/>
      <c r="S23" s="40"/>
      <c r="T23" s="40"/>
      <c r="U23" s="31"/>
      <c r="V23" s="40"/>
      <c r="W23" s="40"/>
      <c r="X23" s="40"/>
      <c r="Y23" s="40"/>
      <c r="Z23" s="40"/>
      <c r="AA23" s="40"/>
    </row>
    <row r="24" spans="1:27">
      <c r="A24" s="40"/>
      <c r="B24" s="40"/>
      <c r="C24" s="40"/>
      <c r="D24" s="40"/>
      <c r="E24" s="40"/>
      <c r="F24" s="40"/>
      <c r="G24" s="31"/>
      <c r="H24" s="40"/>
      <c r="I24" s="40"/>
      <c r="J24" s="40"/>
      <c r="K24" s="40"/>
      <c r="L24" s="40"/>
      <c r="M24" s="40"/>
      <c r="N24" s="31"/>
      <c r="O24" s="40"/>
      <c r="P24" s="40"/>
      <c r="Q24" s="40"/>
      <c r="R24" s="40"/>
      <c r="S24" s="40"/>
      <c r="T24" s="40"/>
      <c r="U24" s="31"/>
      <c r="V24" s="40"/>
      <c r="W24" s="40"/>
      <c r="X24" s="40"/>
      <c r="Y24" s="40"/>
      <c r="Z24" s="40"/>
      <c r="AA24" s="40"/>
    </row>
    <row r="25" spans="1:27">
      <c r="A25" s="40"/>
      <c r="B25" s="40"/>
      <c r="C25" s="40"/>
      <c r="D25" s="40"/>
      <c r="E25" s="40"/>
      <c r="F25" s="40"/>
      <c r="G25" s="31"/>
      <c r="H25" s="40"/>
      <c r="I25" s="40"/>
      <c r="J25" s="40"/>
      <c r="K25" s="40"/>
      <c r="L25" s="40"/>
      <c r="M25" s="40"/>
      <c r="N25" s="31"/>
      <c r="O25" s="40"/>
      <c r="P25" s="40"/>
      <c r="Q25" s="40"/>
      <c r="R25" s="40"/>
      <c r="S25" s="40"/>
      <c r="T25" s="40"/>
      <c r="U25" s="31"/>
      <c r="V25" s="40"/>
      <c r="W25" s="40"/>
      <c r="X25" s="40"/>
      <c r="Y25" s="40"/>
      <c r="Z25" s="40"/>
      <c r="AA25" s="40"/>
    </row>
    <row r="26" spans="1:27">
      <c r="A26" s="40"/>
      <c r="B26" s="40"/>
      <c r="C26" s="40"/>
      <c r="D26" s="40"/>
      <c r="E26" s="40"/>
      <c r="F26" s="40"/>
      <c r="G26" s="31"/>
      <c r="H26" s="40"/>
      <c r="I26" s="40"/>
      <c r="J26" s="40"/>
      <c r="K26" s="40"/>
      <c r="L26" s="40"/>
      <c r="M26" s="40"/>
      <c r="N26" s="31"/>
      <c r="O26" s="40"/>
      <c r="P26" s="40"/>
      <c r="Q26" s="40"/>
      <c r="R26" s="40"/>
      <c r="S26" s="40"/>
      <c r="T26" s="40"/>
      <c r="U26" s="31"/>
      <c r="V26" s="40"/>
      <c r="W26" s="40"/>
      <c r="X26" s="40"/>
      <c r="Y26" s="40"/>
      <c r="Z26" s="40"/>
      <c r="AA26" s="40"/>
    </row>
    <row r="27" spans="1:27">
      <c r="A27" s="40"/>
      <c r="B27" s="40"/>
      <c r="C27" s="40"/>
      <c r="D27" s="40"/>
      <c r="E27" s="40"/>
      <c r="F27" s="40"/>
      <c r="G27" s="31"/>
      <c r="H27" s="40"/>
      <c r="I27" s="40"/>
      <c r="J27" s="40"/>
      <c r="K27" s="40"/>
      <c r="L27" s="40"/>
      <c r="M27" s="40"/>
      <c r="N27" s="31"/>
      <c r="O27" s="40"/>
      <c r="P27" s="40"/>
      <c r="Q27" s="40"/>
      <c r="R27" s="40"/>
      <c r="S27" s="40"/>
      <c r="T27" s="40"/>
      <c r="U27" s="31"/>
      <c r="V27" s="40"/>
      <c r="W27" s="40"/>
      <c r="X27" s="40"/>
      <c r="Y27" s="40"/>
      <c r="Z27" s="40"/>
      <c r="AA27" s="40"/>
    </row>
    <row r="28" spans="1:27">
      <c r="A28" s="40"/>
      <c r="B28" s="40"/>
      <c r="C28" s="40"/>
      <c r="D28" s="40"/>
      <c r="E28" s="40"/>
      <c r="F28" s="40"/>
      <c r="G28" s="31"/>
      <c r="H28" s="40"/>
      <c r="I28" s="40"/>
      <c r="J28" s="40"/>
      <c r="K28" s="40"/>
      <c r="L28" s="40"/>
      <c r="M28" s="40"/>
      <c r="N28" s="31"/>
      <c r="O28" s="40"/>
      <c r="P28" s="40"/>
      <c r="Q28" s="40"/>
      <c r="R28" s="40"/>
      <c r="S28" s="40"/>
      <c r="T28" s="40"/>
      <c r="U28" s="31"/>
      <c r="V28" s="40"/>
      <c r="W28" s="40"/>
      <c r="X28" s="40"/>
      <c r="Y28" s="40"/>
      <c r="Z28" s="40"/>
      <c r="AA28" s="40"/>
    </row>
    <row r="29" spans="1:27">
      <c r="A29" s="40"/>
      <c r="B29" s="40"/>
      <c r="C29" s="40"/>
      <c r="D29" s="40"/>
      <c r="E29" s="40"/>
      <c r="F29" s="40"/>
      <c r="G29" s="31"/>
      <c r="H29" s="40"/>
      <c r="I29" s="40"/>
      <c r="J29" s="40"/>
      <c r="K29" s="40"/>
      <c r="L29" s="40"/>
      <c r="M29" s="40"/>
      <c r="N29" s="31"/>
      <c r="O29" s="40"/>
      <c r="P29" s="40"/>
      <c r="Q29" s="40"/>
      <c r="R29" s="40"/>
      <c r="S29" s="40"/>
      <c r="T29" s="40"/>
      <c r="U29" s="31"/>
      <c r="V29" s="40"/>
      <c r="W29" s="40"/>
      <c r="X29" s="40"/>
      <c r="Y29" s="40"/>
      <c r="Z29" s="40"/>
      <c r="AA29" s="40"/>
    </row>
    <row r="30" spans="1:27">
      <c r="A30" s="40"/>
      <c r="B30" s="40"/>
      <c r="C30" s="40"/>
      <c r="D30" s="40"/>
      <c r="E30" s="40"/>
      <c r="F30" s="40" t="s">
        <v>131</v>
      </c>
      <c r="G30" s="31"/>
      <c r="H30" s="40"/>
      <c r="I30" s="40"/>
      <c r="J30" s="40"/>
      <c r="K30" s="40"/>
      <c r="L30" s="40"/>
      <c r="M30" s="40"/>
      <c r="N30" s="31"/>
      <c r="O30" s="40"/>
      <c r="P30" s="40"/>
      <c r="Q30" s="40"/>
      <c r="R30" s="40"/>
      <c r="S30" s="40"/>
      <c r="T30" s="40"/>
      <c r="U30" s="31"/>
      <c r="V30" s="40"/>
      <c r="W30" s="40"/>
      <c r="X30" s="40"/>
      <c r="Y30" s="40"/>
      <c r="Z30" s="40"/>
      <c r="AA30" s="40"/>
    </row>
    <row r="31" spans="1:27">
      <c r="A31" s="40"/>
      <c r="B31" s="40"/>
      <c r="C31" s="40"/>
      <c r="D31" s="40"/>
      <c r="E31" s="40"/>
      <c r="F31" s="40"/>
      <c r="G31" s="31"/>
      <c r="H31" s="40"/>
      <c r="I31" s="40"/>
      <c r="J31" s="40"/>
      <c r="K31" s="40"/>
      <c r="L31" s="40"/>
      <c r="M31" s="40"/>
      <c r="N31" s="31"/>
      <c r="O31" s="40"/>
      <c r="P31" s="40"/>
      <c r="Q31" s="40"/>
      <c r="R31" s="40"/>
      <c r="S31" s="40"/>
      <c r="T31" s="40"/>
      <c r="U31" s="31"/>
      <c r="V31" s="40"/>
      <c r="W31" s="40"/>
      <c r="X31" s="40"/>
      <c r="Y31" s="40"/>
      <c r="Z31" s="40"/>
      <c r="AA31" s="40"/>
    </row>
    <row r="32" spans="1:27">
      <c r="A32" s="40"/>
      <c r="B32" s="40"/>
      <c r="C32" s="40"/>
      <c r="D32" s="40"/>
      <c r="E32" s="40"/>
      <c r="F32" s="40"/>
      <c r="G32" s="31"/>
      <c r="H32" s="40"/>
      <c r="I32" s="40"/>
      <c r="J32" s="40"/>
      <c r="K32" s="40"/>
      <c r="L32" s="40"/>
      <c r="M32" s="40"/>
      <c r="N32" s="31"/>
      <c r="O32" s="40"/>
      <c r="P32" s="40"/>
      <c r="Q32" s="40"/>
      <c r="R32" s="40"/>
      <c r="S32" s="40"/>
      <c r="T32" s="40"/>
      <c r="U32" s="31"/>
      <c r="V32" s="40"/>
      <c r="W32" s="40"/>
      <c r="X32" s="40"/>
      <c r="Y32" s="40"/>
      <c r="Z32" s="40"/>
      <c r="AA32" s="40"/>
    </row>
    <row r="33" spans="1:27">
      <c r="A33" s="40"/>
      <c r="B33" s="40"/>
      <c r="C33" s="40"/>
      <c r="D33" s="40"/>
      <c r="E33" s="40"/>
      <c r="F33" s="40"/>
      <c r="G33" s="31"/>
      <c r="H33" s="40"/>
      <c r="I33" s="40"/>
      <c r="J33" s="40"/>
      <c r="K33" s="40"/>
      <c r="L33" s="40"/>
      <c r="M33" s="40"/>
      <c r="N33" s="31"/>
      <c r="O33" s="40"/>
      <c r="P33" s="40"/>
      <c r="Q33" s="40"/>
      <c r="R33" s="40"/>
      <c r="S33" s="40"/>
      <c r="T33" s="40"/>
      <c r="U33" s="31"/>
      <c r="V33" s="40"/>
      <c r="W33" s="40"/>
      <c r="X33" s="40"/>
      <c r="Y33" s="40"/>
      <c r="Z33" s="40"/>
      <c r="AA33" s="40"/>
    </row>
    <row r="34" spans="1:27">
      <c r="A34" s="40"/>
      <c r="B34" s="40"/>
      <c r="C34" s="40"/>
      <c r="D34" s="40"/>
      <c r="E34" s="40"/>
      <c r="F34" s="40"/>
      <c r="G34" s="31"/>
      <c r="H34" s="40"/>
      <c r="I34" s="40"/>
      <c r="J34" s="40"/>
      <c r="K34" s="40"/>
      <c r="L34" s="40"/>
      <c r="M34" s="40"/>
      <c r="N34" s="31"/>
      <c r="O34" s="40"/>
      <c r="P34" s="40"/>
      <c r="Q34" s="40"/>
      <c r="R34" s="40"/>
      <c r="S34" s="40"/>
      <c r="T34" s="40"/>
      <c r="U34" s="31"/>
      <c r="V34" s="40"/>
      <c r="W34" s="40"/>
      <c r="X34" s="40"/>
      <c r="Y34" s="40"/>
      <c r="Z34" s="40"/>
      <c r="AA34" s="40"/>
    </row>
    <row r="35" spans="1:27">
      <c r="A35" s="40"/>
      <c r="B35" s="40"/>
      <c r="C35" s="40"/>
      <c r="D35" s="40"/>
      <c r="E35" s="40"/>
      <c r="F35" s="40"/>
      <c r="G35" s="31"/>
      <c r="H35" s="40"/>
      <c r="I35" s="40"/>
      <c r="J35" s="40"/>
      <c r="K35" s="40"/>
      <c r="L35" s="40"/>
      <c r="M35" s="40"/>
      <c r="N35" s="31"/>
      <c r="O35" s="40"/>
      <c r="P35" s="40"/>
      <c r="Q35" s="40"/>
      <c r="R35" s="40"/>
      <c r="S35" s="40"/>
      <c r="T35" s="40"/>
      <c r="U35" s="31"/>
      <c r="V35" s="40"/>
      <c r="W35" s="40"/>
      <c r="X35" s="40"/>
      <c r="Y35" s="40"/>
      <c r="Z35" s="40"/>
      <c r="AA35" s="40"/>
    </row>
    <row r="36" spans="1:27">
      <c r="A36" s="40"/>
      <c r="B36" s="40"/>
      <c r="C36" s="40"/>
      <c r="D36" s="40"/>
      <c r="E36" s="40"/>
      <c r="F36" s="40"/>
      <c r="G36" s="31"/>
      <c r="H36" s="40"/>
      <c r="I36" s="40"/>
      <c r="J36" s="40"/>
      <c r="K36" s="40"/>
      <c r="L36" s="40"/>
      <c r="M36" s="40"/>
      <c r="N36" s="31"/>
      <c r="O36" s="40"/>
      <c r="P36" s="40"/>
      <c r="Q36" s="40"/>
      <c r="R36" s="40"/>
      <c r="S36" s="40"/>
      <c r="T36" s="40"/>
      <c r="U36" s="31"/>
      <c r="V36" s="40"/>
      <c r="W36" s="40"/>
      <c r="X36" s="40"/>
      <c r="Y36" s="40"/>
      <c r="Z36" s="40"/>
      <c r="AA36" s="40"/>
    </row>
    <row r="37" spans="1:27">
      <c r="A37" s="40"/>
      <c r="B37" s="40"/>
      <c r="C37" s="40"/>
      <c r="D37" s="40"/>
      <c r="E37" s="40"/>
      <c r="F37" s="40"/>
      <c r="G37" s="31"/>
      <c r="H37" s="40"/>
      <c r="I37" s="40"/>
      <c r="J37" s="40"/>
      <c r="K37" s="40"/>
      <c r="L37" s="40"/>
      <c r="M37" s="40"/>
      <c r="N37" s="31"/>
      <c r="O37" s="40"/>
      <c r="P37" s="40"/>
      <c r="Q37" s="40"/>
      <c r="R37" s="40"/>
      <c r="S37" s="40"/>
      <c r="T37" s="40"/>
      <c r="U37" s="31"/>
      <c r="V37" s="40"/>
      <c r="W37" s="40"/>
      <c r="X37" s="40"/>
      <c r="Y37" s="40"/>
      <c r="Z37" s="40"/>
      <c r="AA37" s="40"/>
    </row>
    <row r="38" spans="1:27">
      <c r="A38" s="40"/>
      <c r="B38" s="40"/>
      <c r="C38" s="40"/>
      <c r="D38" s="40"/>
      <c r="E38" s="40"/>
      <c r="F38" s="40"/>
      <c r="G38" s="31"/>
      <c r="H38" s="40"/>
      <c r="I38" s="40"/>
      <c r="J38" s="40"/>
      <c r="K38" s="40"/>
      <c r="L38" s="40"/>
      <c r="M38" s="40"/>
      <c r="N38" s="31"/>
      <c r="O38" s="40"/>
      <c r="P38" s="40"/>
      <c r="Q38" s="40"/>
      <c r="R38" s="40"/>
      <c r="S38" s="40"/>
      <c r="T38" s="40"/>
      <c r="U38" s="31"/>
      <c r="V38" s="40"/>
      <c r="W38" s="40"/>
      <c r="X38" s="40"/>
      <c r="Y38" s="40"/>
      <c r="Z38" s="40"/>
      <c r="AA38" s="40"/>
    </row>
    <row r="39" spans="1:27">
      <c r="A39" s="40"/>
      <c r="B39" s="40"/>
      <c r="C39" s="40"/>
      <c r="D39" s="40"/>
      <c r="E39" s="40"/>
      <c r="F39" s="40"/>
      <c r="G39" s="31"/>
      <c r="H39" s="40"/>
      <c r="I39" s="40"/>
      <c r="J39" s="40"/>
      <c r="K39" s="40"/>
      <c r="L39" s="40"/>
      <c r="M39" s="40"/>
      <c r="N39" s="31"/>
      <c r="O39" s="40"/>
      <c r="P39" s="40"/>
      <c r="Q39" s="40"/>
      <c r="R39" s="40"/>
      <c r="S39" s="40"/>
      <c r="T39" s="40"/>
      <c r="U39" s="31"/>
      <c r="V39" s="40"/>
      <c r="W39" s="40"/>
      <c r="X39" s="40"/>
      <c r="Y39" s="40"/>
      <c r="Z39" s="40"/>
      <c r="AA39" s="40"/>
    </row>
    <row r="40" spans="1:27">
      <c r="A40" s="40"/>
      <c r="B40" s="40"/>
      <c r="C40" s="40"/>
      <c r="D40" s="40"/>
      <c r="E40" s="40"/>
      <c r="F40" s="40"/>
      <c r="G40" s="31"/>
      <c r="H40" s="40"/>
      <c r="I40" s="40"/>
      <c r="J40" s="40"/>
      <c r="K40" s="40"/>
      <c r="L40" s="40"/>
      <c r="M40" s="40"/>
      <c r="N40" s="31"/>
      <c r="O40" s="40"/>
      <c r="P40" s="40"/>
      <c r="Q40" s="40"/>
      <c r="R40" s="40"/>
      <c r="S40" s="40"/>
      <c r="T40" s="40"/>
      <c r="U40" s="31"/>
      <c r="V40" s="40"/>
      <c r="W40" s="40"/>
      <c r="X40" s="40"/>
      <c r="Y40" s="40"/>
      <c r="Z40" s="40"/>
      <c r="AA40" s="40"/>
    </row>
    <row r="41" spans="1:27">
      <c r="A41" s="40"/>
      <c r="B41" s="40"/>
      <c r="C41" s="40"/>
      <c r="D41" s="40"/>
      <c r="E41" s="40"/>
      <c r="F41" s="40"/>
      <c r="G41" s="31"/>
      <c r="H41" s="40"/>
      <c r="I41" s="40"/>
      <c r="J41" s="40"/>
      <c r="K41" s="40"/>
      <c r="L41" s="40"/>
      <c r="M41" s="40"/>
      <c r="N41" s="31"/>
      <c r="O41" s="40"/>
      <c r="P41" s="40"/>
      <c r="Q41" s="40"/>
      <c r="R41" s="40"/>
      <c r="S41" s="40"/>
      <c r="T41" s="40"/>
      <c r="U41" s="31"/>
      <c r="V41" s="40"/>
      <c r="W41" s="40"/>
      <c r="X41" s="40"/>
      <c r="Y41" s="40"/>
      <c r="Z41" s="40"/>
      <c r="AA41" s="40"/>
    </row>
    <row r="42" spans="1:27">
      <c r="A42" s="40"/>
      <c r="B42" s="40"/>
      <c r="C42" s="40"/>
      <c r="D42" s="40"/>
      <c r="E42" s="40"/>
      <c r="F42" s="40"/>
      <c r="G42" s="31"/>
      <c r="H42" s="40"/>
      <c r="I42" s="40"/>
      <c r="J42" s="40"/>
      <c r="K42" s="40"/>
      <c r="L42" s="40"/>
      <c r="M42" s="40"/>
      <c r="N42" s="31"/>
      <c r="O42" s="40"/>
      <c r="P42" s="40"/>
      <c r="Q42" s="40"/>
      <c r="R42" s="40"/>
      <c r="S42" s="40"/>
      <c r="T42" s="40"/>
      <c r="U42" s="31"/>
      <c r="V42" s="40"/>
      <c r="W42" s="40"/>
      <c r="X42" s="40"/>
      <c r="Y42" s="40"/>
      <c r="Z42" s="40"/>
      <c r="AA42" s="40"/>
    </row>
    <row r="43" spans="1:27">
      <c r="A43" s="40"/>
      <c r="B43" s="40"/>
      <c r="C43" s="40"/>
      <c r="D43" s="40"/>
      <c r="E43" s="40"/>
      <c r="F43" s="40"/>
      <c r="G43" s="31"/>
      <c r="H43" s="40"/>
      <c r="I43" s="40"/>
      <c r="J43" s="40"/>
      <c r="K43" s="40"/>
      <c r="L43" s="40"/>
      <c r="M43" s="40"/>
      <c r="N43" s="31"/>
      <c r="O43" s="40"/>
      <c r="P43" s="40"/>
      <c r="Q43" s="40"/>
      <c r="R43" s="40"/>
      <c r="S43" s="40"/>
      <c r="T43" s="40"/>
      <c r="U43" s="31"/>
      <c r="V43" s="40"/>
      <c r="W43" s="40"/>
      <c r="X43" s="40"/>
      <c r="Y43" s="40"/>
      <c r="Z43" s="40"/>
      <c r="AA43" s="40"/>
    </row>
    <row r="44" spans="1:27">
      <c r="A44" s="40"/>
      <c r="B44" s="40"/>
      <c r="C44" s="40"/>
      <c r="D44" s="40"/>
      <c r="E44" s="40"/>
      <c r="F44" s="40"/>
      <c r="G44" s="31"/>
      <c r="H44" s="40"/>
      <c r="I44" s="40"/>
      <c r="J44" s="40"/>
      <c r="K44" s="40"/>
      <c r="L44" s="40"/>
      <c r="M44" s="40"/>
      <c r="N44" s="31"/>
      <c r="O44" s="40"/>
      <c r="P44" s="40"/>
      <c r="Q44" s="40"/>
      <c r="R44" s="40"/>
      <c r="S44" s="40"/>
      <c r="T44" s="40"/>
      <c r="U44" s="31"/>
      <c r="V44" s="40"/>
      <c r="W44" s="40"/>
      <c r="X44" s="40"/>
      <c r="Y44" s="40"/>
      <c r="Z44" s="40"/>
      <c r="AA44" s="40"/>
    </row>
    <row r="45" spans="1:27">
      <c r="A45" s="40"/>
      <c r="B45" s="40"/>
      <c r="C45" s="40"/>
      <c r="D45" s="40"/>
      <c r="E45" s="40"/>
      <c r="F45" s="40"/>
      <c r="G45" s="31"/>
      <c r="H45" s="40"/>
      <c r="I45" s="40"/>
      <c r="J45" s="40"/>
      <c r="K45" s="40"/>
      <c r="L45" s="40"/>
      <c r="M45" s="40"/>
      <c r="N45" s="31"/>
      <c r="O45" s="40"/>
      <c r="P45" s="40"/>
      <c r="Q45" s="40"/>
      <c r="R45" s="40"/>
      <c r="S45" s="40"/>
      <c r="T45" s="40"/>
      <c r="U45" s="31"/>
      <c r="V45" s="40"/>
      <c r="W45" s="40"/>
      <c r="X45" s="40"/>
      <c r="Y45" s="40"/>
      <c r="Z45" s="40"/>
      <c r="AA45" s="40"/>
    </row>
    <row r="46" spans="1:27">
      <c r="A46" s="40"/>
      <c r="B46" s="40"/>
      <c r="C46" s="40"/>
      <c r="D46" s="40"/>
      <c r="E46" s="40"/>
      <c r="F46" s="40"/>
      <c r="G46" s="31"/>
      <c r="H46" s="40"/>
      <c r="I46" s="40"/>
      <c r="J46" s="40"/>
      <c r="K46" s="40"/>
      <c r="L46" s="40"/>
      <c r="M46" s="40"/>
      <c r="N46" s="31"/>
      <c r="O46" s="40"/>
      <c r="P46" s="40"/>
      <c r="Q46" s="40"/>
      <c r="R46" s="40"/>
      <c r="S46" s="40"/>
      <c r="T46" s="40"/>
      <c r="U46" s="31"/>
      <c r="V46" s="40"/>
      <c r="W46" s="40"/>
      <c r="X46" s="40"/>
      <c r="Y46" s="40"/>
      <c r="Z46" s="40"/>
      <c r="AA46" s="40"/>
    </row>
    <row r="47" spans="1:27">
      <c r="A47" s="40"/>
      <c r="B47" s="40"/>
      <c r="C47" s="40"/>
      <c r="D47" s="40"/>
      <c r="E47" s="40"/>
      <c r="F47" s="40"/>
      <c r="G47" s="31"/>
      <c r="H47" s="40"/>
      <c r="I47" s="40"/>
      <c r="J47" s="40"/>
      <c r="K47" s="40"/>
      <c r="L47" s="40"/>
      <c r="M47" s="40"/>
      <c r="N47" s="31"/>
      <c r="O47" s="40"/>
      <c r="P47" s="40"/>
      <c r="Q47" s="40"/>
      <c r="R47" s="40"/>
      <c r="S47" s="40"/>
      <c r="T47" s="40"/>
      <c r="U47" s="31"/>
      <c r="V47" s="40"/>
      <c r="W47" s="40"/>
      <c r="X47" s="40"/>
      <c r="Y47" s="40"/>
      <c r="Z47" s="40"/>
      <c r="AA47" s="40"/>
    </row>
    <row r="48" spans="1:27">
      <c r="A48" s="40"/>
      <c r="B48" s="40"/>
      <c r="C48" s="40"/>
      <c r="D48" s="40"/>
      <c r="E48" s="40"/>
      <c r="F48" s="40"/>
      <c r="G48" s="31"/>
      <c r="H48" s="40"/>
      <c r="I48" s="40"/>
      <c r="J48" s="40"/>
      <c r="K48" s="40"/>
      <c r="L48" s="40"/>
      <c r="M48" s="40"/>
      <c r="N48" s="31"/>
      <c r="O48" s="40"/>
      <c r="P48" s="40"/>
      <c r="Q48" s="40"/>
      <c r="R48" s="40"/>
      <c r="S48" s="40"/>
      <c r="T48" s="40"/>
      <c r="U48" s="31"/>
      <c r="V48" s="40"/>
      <c r="W48" s="40"/>
      <c r="X48" s="40"/>
      <c r="Y48" s="40"/>
      <c r="Z48" s="40"/>
      <c r="AA48" s="40"/>
    </row>
    <row r="49" spans="1:27">
      <c r="A49" s="40"/>
      <c r="B49" s="40"/>
      <c r="C49" s="40"/>
      <c r="D49" s="40"/>
      <c r="E49" s="40"/>
      <c r="F49" s="40"/>
      <c r="G49" s="31"/>
      <c r="H49" s="40"/>
      <c r="I49" s="40"/>
      <c r="J49" s="40"/>
      <c r="K49" s="40"/>
      <c r="L49" s="40"/>
      <c r="M49" s="40"/>
      <c r="N49" s="31"/>
      <c r="O49" s="40"/>
      <c r="P49" s="40"/>
      <c r="Q49" s="40"/>
      <c r="R49" s="40"/>
      <c r="S49" s="40"/>
      <c r="T49" s="40"/>
      <c r="U49" s="31"/>
      <c r="V49" s="40"/>
      <c r="W49" s="40"/>
      <c r="X49" s="40"/>
      <c r="Y49" s="40"/>
      <c r="Z49" s="40"/>
      <c r="AA49" s="40"/>
    </row>
    <row r="50" spans="1:27">
      <c r="A50" s="40"/>
      <c r="B50" s="40"/>
      <c r="C50" s="40"/>
      <c r="D50" s="40"/>
      <c r="E50" s="40"/>
      <c r="F50" s="40"/>
      <c r="G50" s="31"/>
      <c r="H50" s="40"/>
      <c r="I50" s="40"/>
      <c r="J50" s="40"/>
      <c r="K50" s="40"/>
      <c r="L50" s="40"/>
      <c r="M50" s="40"/>
      <c r="N50" s="31"/>
      <c r="O50" s="40"/>
      <c r="P50" s="40"/>
      <c r="Q50" s="40"/>
      <c r="R50" s="40"/>
      <c r="S50" s="40"/>
      <c r="T50" s="40"/>
      <c r="U50" s="31"/>
      <c r="V50" s="40"/>
      <c r="W50" s="40"/>
      <c r="X50" s="40"/>
      <c r="Y50" s="40"/>
      <c r="Z50" s="40"/>
      <c r="AA50" s="40"/>
    </row>
    <row r="51" spans="1:27">
      <c r="A51" s="31"/>
      <c r="B51" s="31"/>
      <c r="C51" s="31"/>
      <c r="D51" s="31"/>
      <c r="E51" s="31"/>
      <c r="F51" s="31"/>
      <c r="G51" s="31"/>
      <c r="H51" s="31"/>
      <c r="I51" s="31"/>
      <c r="J51" s="31"/>
      <c r="K51" s="31"/>
      <c r="L51" s="31"/>
      <c r="M51" s="31"/>
      <c r="N51" s="31"/>
      <c r="O51" s="40"/>
      <c r="P51" s="40"/>
      <c r="Q51" s="40"/>
      <c r="R51" s="40"/>
      <c r="S51" s="40"/>
      <c r="T51" s="40"/>
      <c r="U51" s="31"/>
      <c r="V51" s="40"/>
      <c r="W51" s="40"/>
      <c r="X51" s="40"/>
      <c r="Y51" s="40"/>
      <c r="Z51" s="40"/>
      <c r="AA51" s="40"/>
    </row>
  </sheetData>
  <sheetProtection selectLockedCells="1" selectUnlockedCells="1"/>
  <mergeCells count="3">
    <mergeCell ref="O3:P3"/>
    <mergeCell ref="V3:W3"/>
    <mergeCell ref="A1:H1"/>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8BBBA-C1AC-470A-BB6E-BDA97EC7AEE2}">
  <sheetPr codeName="Sheet2"/>
  <dimension ref="A1:T76"/>
  <sheetViews>
    <sheetView topLeftCell="G1" zoomScale="54" zoomScaleNormal="54" workbookViewId="0">
      <selection activeCell="O8" sqref="O8:O9"/>
    </sheetView>
  </sheetViews>
  <sheetFormatPr defaultRowHeight="17.649999999999999"/>
  <cols>
    <col min="1" max="1" width="9" customWidth="1"/>
    <col min="2" max="2" width="14.25" customWidth="1"/>
    <col min="3" max="3" width="10.75" customWidth="1"/>
    <col min="5" max="5" width="14.0625" customWidth="1"/>
    <col min="8" max="8" width="63.9375" customWidth="1"/>
    <col min="12" max="12" width="44.5" customWidth="1"/>
    <col min="13" max="13" width="9.25" customWidth="1"/>
    <col min="14" max="14" width="13.75" customWidth="1"/>
    <col min="15" max="15" width="11.3125" customWidth="1"/>
    <col min="16" max="16" width="18.6875" customWidth="1"/>
    <col min="17" max="17" width="11.3125" customWidth="1"/>
    <col min="18" max="18" width="9.5625" customWidth="1"/>
    <col min="19" max="19" width="10" customWidth="1"/>
    <col min="20" max="20" width="64.5625" customWidth="1"/>
  </cols>
  <sheetData>
    <row r="1" spans="1:20" ht="31.5" customHeight="1">
      <c r="B1" t="s">
        <v>95</v>
      </c>
      <c r="C1" t="s">
        <v>96</v>
      </c>
      <c r="D1" t="s">
        <v>97</v>
      </c>
      <c r="H1" s="32" t="s">
        <v>143</v>
      </c>
    </row>
    <row r="3" spans="1:20">
      <c r="B3" t="s">
        <v>101</v>
      </c>
      <c r="M3" t="s">
        <v>102</v>
      </c>
    </row>
    <row r="4" spans="1:20">
      <c r="B4" t="str" cm="1">
        <f t="array" aca="1" ref="B4" ca="1">_xll.RssMarginOpenOrder(C8,C10,C13,C17,C19,C22,C24,C28,C29,C32,C34,C42,C44,C46,C47,C50,C53,C55,C58,C61,C62,C71)</f>
        <v>=RssMarginOpenOrder(C8,C10,C13,C17,C19,C22,C24,C28,C29,C32,C34,C42,C44,C46,C47,C50,C53,C55,C58,C61,C62,C71) =&gt; 入力エラー：売買区分は、1(売り)か3(買い)で入力してください。</v>
      </c>
      <c r="M4" t="e" cm="1">
        <f t="array" aca="1" ref="M4" ca="1">_xll.RssMarginCloseOrder(O8,O10,O13,O17,O19,O22,O24,O28,O29,O32,O34,O42,O44,O46,O48,O49,O52,O53,O56,O59)</f>
        <v>#VALUE!</v>
      </c>
    </row>
    <row r="5" spans="1:20" ht="16.149999999999999" customHeight="1">
      <c r="A5" s="7" t="s">
        <v>58</v>
      </c>
      <c r="B5" s="61" t="s">
        <v>59</v>
      </c>
      <c r="C5" s="52"/>
      <c r="D5" s="61" t="s">
        <v>16</v>
      </c>
      <c r="E5" s="61"/>
      <c r="F5" s="61"/>
      <c r="G5" s="61" t="s">
        <v>60</v>
      </c>
      <c r="H5" s="61" t="s">
        <v>61</v>
      </c>
      <c r="M5" s="61" t="s">
        <v>58</v>
      </c>
      <c r="N5" s="61" t="s">
        <v>59</v>
      </c>
      <c r="O5" s="52"/>
      <c r="P5" s="61" t="s">
        <v>16</v>
      </c>
      <c r="Q5" s="61"/>
      <c r="R5" s="61"/>
      <c r="S5" s="61" t="s">
        <v>60</v>
      </c>
      <c r="T5" s="11" t="s">
        <v>61</v>
      </c>
    </row>
    <row r="6" spans="1:20" ht="24" customHeight="1">
      <c r="A6" s="7"/>
      <c r="B6" s="61"/>
      <c r="C6" s="52"/>
      <c r="D6" s="2" t="s">
        <v>62</v>
      </c>
      <c r="E6" s="2" t="s">
        <v>64</v>
      </c>
      <c r="F6" s="2" t="s">
        <v>66</v>
      </c>
      <c r="G6" s="61"/>
      <c r="H6" s="61"/>
      <c r="M6" s="61"/>
      <c r="N6" s="61"/>
      <c r="O6" s="52"/>
      <c r="P6" s="11" t="s">
        <v>62</v>
      </c>
      <c r="Q6" s="11" t="s">
        <v>64</v>
      </c>
      <c r="R6" s="11" t="s">
        <v>66</v>
      </c>
      <c r="S6" s="61"/>
      <c r="T6" s="11"/>
    </row>
    <row r="7" spans="1:20" ht="20.65" customHeight="1">
      <c r="A7" s="7"/>
      <c r="B7" s="61"/>
      <c r="C7" s="52"/>
      <c r="D7" s="2" t="s">
        <v>63</v>
      </c>
      <c r="E7" s="2" t="s">
        <v>65</v>
      </c>
      <c r="F7" s="2" t="s">
        <v>63</v>
      </c>
      <c r="G7" s="61"/>
      <c r="H7" s="61"/>
      <c r="M7" s="61"/>
      <c r="N7" s="61"/>
      <c r="O7" s="52"/>
      <c r="P7" s="11" t="s">
        <v>63</v>
      </c>
      <c r="Q7" s="11" t="s">
        <v>65</v>
      </c>
      <c r="R7" s="11" t="s">
        <v>63</v>
      </c>
      <c r="S7" s="61"/>
      <c r="T7" s="11"/>
    </row>
    <row r="8" spans="1:20" ht="34.9" customHeight="1">
      <c r="A8" s="62">
        <v>1</v>
      </c>
      <c r="B8" s="58" t="s">
        <v>17</v>
      </c>
      <c r="C8" s="49">
        <f ca="1">main!E4*1000+OFFSET(main!G1, main!B4 - 2,0)+main!B1</f>
        <v>260827378</v>
      </c>
      <c r="D8" s="60" t="s">
        <v>18</v>
      </c>
      <c r="E8" s="60" t="s">
        <v>18</v>
      </c>
      <c r="F8" s="60" t="s">
        <v>18</v>
      </c>
      <c r="G8" s="60" t="s">
        <v>19</v>
      </c>
      <c r="H8" s="3" t="s">
        <v>20</v>
      </c>
      <c r="M8" s="62">
        <v>1</v>
      </c>
      <c r="N8" s="58" t="s">
        <v>17</v>
      </c>
      <c r="O8" s="49" t="str">
        <f ca="1">IF(AND(O17&lt;&gt;"",O46&lt;&gt;"",O48&lt;&gt;"",O49&lt;&gt;""),main!B1*100000+OFFSET(main!G1, main!B4 - 2,0)*100+main!O3+main!O4,"")</f>
        <v/>
      </c>
      <c r="P8" s="63" t="s">
        <v>18</v>
      </c>
      <c r="Q8" s="63" t="s">
        <v>18</v>
      </c>
      <c r="R8" s="63" t="s">
        <v>18</v>
      </c>
      <c r="S8" s="60" t="s">
        <v>19</v>
      </c>
      <c r="T8" s="10" t="s">
        <v>20</v>
      </c>
    </row>
    <row r="9" spans="1:20" ht="35.25" customHeight="1">
      <c r="A9" s="62"/>
      <c r="B9" s="58"/>
      <c r="C9" s="49"/>
      <c r="D9" s="60"/>
      <c r="E9" s="60"/>
      <c r="F9" s="60"/>
      <c r="G9" s="60"/>
      <c r="H9" s="12" t="s">
        <v>98</v>
      </c>
      <c r="M9" s="62"/>
      <c r="N9" s="58"/>
      <c r="O9" s="49"/>
      <c r="P9" s="63"/>
      <c r="Q9" s="63"/>
      <c r="R9" s="63"/>
      <c r="S9" s="60"/>
      <c r="T9" s="10" t="s">
        <v>103</v>
      </c>
    </row>
    <row r="10" spans="1:20" ht="28.25" customHeight="1">
      <c r="A10" s="62">
        <v>2</v>
      </c>
      <c r="B10" s="58" t="s">
        <v>21</v>
      </c>
      <c r="C10" s="49" t="str">
        <f ca="1">IF(AND(OR(main!H3-main!L3-main!O3&gt;0, main!H4-main!L4-main!O4&gt;0),OFFSET(main!I1,main!B4-2,0)&lt;&gt;""),1,"0")</f>
        <v>0</v>
      </c>
      <c r="D10" s="59" t="s">
        <v>18</v>
      </c>
      <c r="E10" s="59" t="s">
        <v>18</v>
      </c>
      <c r="F10" s="59" t="s">
        <v>18</v>
      </c>
      <c r="G10" s="59" t="s">
        <v>19</v>
      </c>
      <c r="H10" s="4" t="s">
        <v>22</v>
      </c>
      <c r="M10" s="62">
        <v>2</v>
      </c>
      <c r="N10" s="58" t="s">
        <v>21</v>
      </c>
      <c r="O10" s="49">
        <f ca="1">IF(O8&lt;&gt;"",1,0)</f>
        <v>0</v>
      </c>
      <c r="P10" s="64" t="s">
        <v>18</v>
      </c>
      <c r="Q10" s="64" t="s">
        <v>18</v>
      </c>
      <c r="R10" s="64" t="s">
        <v>18</v>
      </c>
      <c r="S10" s="59" t="s">
        <v>19</v>
      </c>
      <c r="T10" s="9" t="s">
        <v>22</v>
      </c>
    </row>
    <row r="11" spans="1:20" ht="28.25" customHeight="1">
      <c r="A11" s="62"/>
      <c r="B11" s="58"/>
      <c r="C11" s="49"/>
      <c r="D11" s="59"/>
      <c r="E11" s="59"/>
      <c r="F11" s="59"/>
      <c r="G11" s="59"/>
      <c r="H11" s="4" t="s">
        <v>23</v>
      </c>
      <c r="M11" s="62"/>
      <c r="N11" s="58"/>
      <c r="O11" s="49"/>
      <c r="P11" s="64"/>
      <c r="Q11" s="64"/>
      <c r="R11" s="64"/>
      <c r="S11" s="59"/>
      <c r="T11" s="9" t="s">
        <v>23</v>
      </c>
    </row>
    <row r="12" spans="1:20" ht="28.25" customHeight="1">
      <c r="A12" s="62"/>
      <c r="B12" s="58"/>
      <c r="C12" s="49"/>
      <c r="D12" s="59"/>
      <c r="E12" s="59"/>
      <c r="F12" s="59"/>
      <c r="G12" s="59"/>
      <c r="H12" s="4" t="s">
        <v>24</v>
      </c>
      <c r="M12" s="62"/>
      <c r="N12" s="58"/>
      <c r="O12" s="49"/>
      <c r="P12" s="64"/>
      <c r="Q12" s="64"/>
      <c r="R12" s="64"/>
      <c r="S12" s="59"/>
      <c r="T12" s="9" t="s">
        <v>24</v>
      </c>
    </row>
    <row r="13" spans="1:20" ht="38.65" customHeight="1">
      <c r="A13" s="62">
        <v>3</v>
      </c>
      <c r="B13" s="58" t="s">
        <v>6</v>
      </c>
      <c r="C13" s="49">
        <f ca="1">OFFSET(main!B1,0,0)</f>
        <v>1458</v>
      </c>
      <c r="D13" s="60" t="s">
        <v>18</v>
      </c>
      <c r="E13" s="60" t="s">
        <v>18</v>
      </c>
      <c r="F13" s="60" t="s">
        <v>18</v>
      </c>
      <c r="G13" s="60" t="s">
        <v>25</v>
      </c>
      <c r="H13" s="3" t="s">
        <v>26</v>
      </c>
      <c r="M13" s="62">
        <v>3</v>
      </c>
      <c r="N13" s="58" t="s">
        <v>6</v>
      </c>
      <c r="O13" s="49">
        <f ca="1">OFFSET(main!B1,0,0)</f>
        <v>1458</v>
      </c>
      <c r="P13" s="63" t="s">
        <v>18</v>
      </c>
      <c r="Q13" s="63" t="s">
        <v>18</v>
      </c>
      <c r="R13" s="63" t="s">
        <v>18</v>
      </c>
      <c r="S13" s="60" t="s">
        <v>25</v>
      </c>
      <c r="T13" s="10" t="s">
        <v>26</v>
      </c>
    </row>
    <row r="14" spans="1:20" ht="28.25" customHeight="1">
      <c r="A14" s="62"/>
      <c r="B14" s="58"/>
      <c r="C14" s="49"/>
      <c r="D14" s="60"/>
      <c r="E14" s="60"/>
      <c r="F14" s="60"/>
      <c r="G14" s="60"/>
      <c r="H14" s="3" t="s">
        <v>27</v>
      </c>
      <c r="M14" s="62"/>
      <c r="N14" s="58"/>
      <c r="O14" s="49"/>
      <c r="P14" s="63"/>
      <c r="Q14" s="63"/>
      <c r="R14" s="63"/>
      <c r="S14" s="60"/>
      <c r="T14" s="10" t="s">
        <v>27</v>
      </c>
    </row>
    <row r="15" spans="1:20" ht="28.25" customHeight="1">
      <c r="A15" s="62"/>
      <c r="B15" s="58"/>
      <c r="C15" s="49"/>
      <c r="D15" s="60"/>
      <c r="E15" s="60"/>
      <c r="F15" s="60"/>
      <c r="G15" s="60"/>
      <c r="H15" s="3" t="s">
        <v>28</v>
      </c>
      <c r="M15" s="62"/>
      <c r="N15" s="58"/>
      <c r="O15" s="49"/>
      <c r="P15" s="63"/>
      <c r="Q15" s="63"/>
      <c r="R15" s="63"/>
      <c r="S15" s="60"/>
      <c r="T15" s="10" t="s">
        <v>28</v>
      </c>
    </row>
    <row r="16" spans="1:20" ht="28.25" customHeight="1">
      <c r="A16" s="62"/>
      <c r="B16" s="58"/>
      <c r="C16" s="49"/>
      <c r="D16" s="60"/>
      <c r="E16" s="60"/>
      <c r="F16" s="60"/>
      <c r="G16" s="60"/>
      <c r="H16" s="3" t="s">
        <v>29</v>
      </c>
      <c r="M16" s="62"/>
      <c r="N16" s="58"/>
      <c r="O16" s="49"/>
      <c r="P16" s="63"/>
      <c r="Q16" s="63"/>
      <c r="R16" s="63"/>
      <c r="S16" s="60"/>
      <c r="T16" s="10" t="s">
        <v>29</v>
      </c>
    </row>
    <row r="17" spans="1:20" ht="28.25" customHeight="1">
      <c r="A17" s="62">
        <v>4</v>
      </c>
      <c r="B17" s="58" t="s">
        <v>30</v>
      </c>
      <c r="C17" s="49" t="str">
        <f ca="1">IF(OFFSET(main!I1, main!B4 - 2,0)="買", 3, IF(OFFSET(main!I1, main!B4 - 2,0)="売", 1,""))</f>
        <v/>
      </c>
      <c r="D17" s="59" t="s">
        <v>18</v>
      </c>
      <c r="E17" s="59" t="s">
        <v>18</v>
      </c>
      <c r="F17" s="59" t="s">
        <v>18</v>
      </c>
      <c r="G17" s="59" t="s">
        <v>25</v>
      </c>
      <c r="H17" s="4" t="s">
        <v>67</v>
      </c>
      <c r="M17" s="62">
        <v>4</v>
      </c>
      <c r="N17" s="58" t="s">
        <v>30</v>
      </c>
      <c r="O17" s="49" t="str">
        <f>IF(main!O3+main!L3-main!H3&gt;0, 1, IF(main!O4+main!L4-main!H4&gt;0, 3,""))</f>
        <v/>
      </c>
      <c r="P17" s="64" t="s">
        <v>18</v>
      </c>
      <c r="Q17" s="15" t="s">
        <v>18</v>
      </c>
      <c r="R17" s="15" t="s">
        <v>18</v>
      </c>
      <c r="S17" s="59" t="s">
        <v>25</v>
      </c>
      <c r="T17" s="9" t="s">
        <v>104</v>
      </c>
    </row>
    <row r="18" spans="1:20" ht="28.25" customHeight="1">
      <c r="A18" s="62"/>
      <c r="B18" s="58"/>
      <c r="C18" s="49"/>
      <c r="D18" s="59"/>
      <c r="E18" s="59"/>
      <c r="F18" s="59"/>
      <c r="G18" s="59"/>
      <c r="H18" s="4" t="s">
        <v>68</v>
      </c>
      <c r="M18" s="62"/>
      <c r="N18" s="58"/>
      <c r="O18" s="49"/>
      <c r="P18" s="64"/>
      <c r="Q18" s="15"/>
      <c r="R18" s="15"/>
      <c r="S18" s="59"/>
      <c r="T18" s="9" t="s">
        <v>105</v>
      </c>
    </row>
    <row r="19" spans="1:20" ht="28.25" customHeight="1">
      <c r="A19" s="62">
        <v>5</v>
      </c>
      <c r="B19" s="58" t="s">
        <v>16</v>
      </c>
      <c r="C19" s="52">
        <v>0</v>
      </c>
      <c r="D19" s="60" t="s">
        <v>18</v>
      </c>
      <c r="E19" s="60" t="s">
        <v>18</v>
      </c>
      <c r="F19" s="60" t="s">
        <v>18</v>
      </c>
      <c r="G19" s="60" t="s">
        <v>25</v>
      </c>
      <c r="H19" s="3" t="s">
        <v>130</v>
      </c>
      <c r="M19" s="62">
        <v>5</v>
      </c>
      <c r="N19" s="58" t="s">
        <v>16</v>
      </c>
      <c r="O19" s="65">
        <v>0</v>
      </c>
      <c r="P19" s="63" t="s">
        <v>18</v>
      </c>
      <c r="Q19" s="63" t="s">
        <v>18</v>
      </c>
      <c r="R19" s="63" t="s">
        <v>18</v>
      </c>
      <c r="S19" s="60" t="s">
        <v>25</v>
      </c>
      <c r="T19" s="10" t="s">
        <v>31</v>
      </c>
    </row>
    <row r="20" spans="1:20" ht="28.25" customHeight="1">
      <c r="A20" s="62"/>
      <c r="B20" s="58"/>
      <c r="C20" s="52"/>
      <c r="D20" s="60"/>
      <c r="E20" s="60"/>
      <c r="F20" s="60"/>
      <c r="G20" s="60"/>
      <c r="H20" s="3" t="s">
        <v>129</v>
      </c>
      <c r="M20" s="62"/>
      <c r="N20" s="58"/>
      <c r="O20" s="65"/>
      <c r="P20" s="63"/>
      <c r="Q20" s="63"/>
      <c r="R20" s="63"/>
      <c r="S20" s="60"/>
      <c r="T20" s="10" t="s">
        <v>32</v>
      </c>
    </row>
    <row r="21" spans="1:20" ht="28.25" customHeight="1">
      <c r="A21" s="62"/>
      <c r="B21" s="58"/>
      <c r="C21" s="52"/>
      <c r="D21" s="60"/>
      <c r="E21" s="60"/>
      <c r="F21" s="60"/>
      <c r="G21" s="60"/>
      <c r="H21" s="3" t="s">
        <v>33</v>
      </c>
      <c r="M21" s="62"/>
      <c r="N21" s="58"/>
      <c r="O21" s="65"/>
      <c r="P21" s="63"/>
      <c r="Q21" s="63"/>
      <c r="R21" s="63"/>
      <c r="S21" s="60"/>
      <c r="T21" s="10" t="s">
        <v>33</v>
      </c>
    </row>
    <row r="22" spans="1:20" ht="28.25" customHeight="1">
      <c r="A22" s="62">
        <v>6</v>
      </c>
      <c r="B22" s="58" t="s">
        <v>34</v>
      </c>
      <c r="C22" s="57">
        <v>1</v>
      </c>
      <c r="D22" s="59" t="s">
        <v>18</v>
      </c>
      <c r="E22" s="59" t="s">
        <v>18</v>
      </c>
      <c r="F22" s="59" t="s">
        <v>18</v>
      </c>
      <c r="G22" s="59" t="s">
        <v>25</v>
      </c>
      <c r="H22" s="4" t="s">
        <v>31</v>
      </c>
      <c r="M22" s="62">
        <v>6</v>
      </c>
      <c r="N22" s="58" t="s">
        <v>34</v>
      </c>
      <c r="O22" s="49">
        <f>C22</f>
        <v>1</v>
      </c>
      <c r="P22" s="64" t="s">
        <v>18</v>
      </c>
      <c r="Q22" s="64" t="s">
        <v>18</v>
      </c>
      <c r="R22" s="64" t="s">
        <v>18</v>
      </c>
      <c r="S22" s="59" t="s">
        <v>25</v>
      </c>
      <c r="T22" s="9" t="s">
        <v>31</v>
      </c>
    </row>
    <row r="23" spans="1:20" ht="28.25" customHeight="1">
      <c r="A23" s="62"/>
      <c r="B23" s="58"/>
      <c r="C23" s="57"/>
      <c r="D23" s="59"/>
      <c r="E23" s="59"/>
      <c r="F23" s="59"/>
      <c r="G23" s="59"/>
      <c r="H23" s="4" t="s">
        <v>128</v>
      </c>
      <c r="M23" s="62"/>
      <c r="N23" s="58"/>
      <c r="O23" s="49"/>
      <c r="P23" s="64"/>
      <c r="Q23" s="64"/>
      <c r="R23" s="64"/>
      <c r="S23" s="59"/>
      <c r="T23" s="9" t="s">
        <v>35</v>
      </c>
    </row>
    <row r="24" spans="1:20" ht="28.25" customHeight="1">
      <c r="A24" s="62">
        <v>7</v>
      </c>
      <c r="B24" s="58" t="s">
        <v>12</v>
      </c>
      <c r="C24" s="57">
        <v>1</v>
      </c>
      <c r="D24" s="60" t="s">
        <v>18</v>
      </c>
      <c r="E24" s="60" t="s">
        <v>18</v>
      </c>
      <c r="F24" s="60" t="s">
        <v>18</v>
      </c>
      <c r="G24" s="60" t="s">
        <v>25</v>
      </c>
      <c r="H24" s="3" t="s">
        <v>69</v>
      </c>
      <c r="M24" s="62">
        <v>7</v>
      </c>
      <c r="N24" s="58" t="s">
        <v>12</v>
      </c>
      <c r="O24" s="49">
        <f>C24</f>
        <v>1</v>
      </c>
      <c r="P24" s="63" t="s">
        <v>18</v>
      </c>
      <c r="Q24" s="63" t="s">
        <v>18</v>
      </c>
      <c r="R24" s="63" t="s">
        <v>18</v>
      </c>
      <c r="S24" s="60" t="s">
        <v>25</v>
      </c>
      <c r="T24" s="10" t="s">
        <v>69</v>
      </c>
    </row>
    <row r="25" spans="1:20" ht="28.25" customHeight="1">
      <c r="A25" s="62"/>
      <c r="B25" s="58"/>
      <c r="C25" s="57"/>
      <c r="D25" s="60"/>
      <c r="E25" s="60"/>
      <c r="F25" s="60"/>
      <c r="G25" s="60"/>
      <c r="H25" s="3" t="s">
        <v>70</v>
      </c>
      <c r="M25" s="62"/>
      <c r="N25" s="58"/>
      <c r="O25" s="49"/>
      <c r="P25" s="63"/>
      <c r="Q25" s="63"/>
      <c r="R25" s="63"/>
      <c r="S25" s="60"/>
      <c r="T25" s="10" t="s">
        <v>70</v>
      </c>
    </row>
    <row r="26" spans="1:20" ht="28.25" customHeight="1">
      <c r="A26" s="62"/>
      <c r="B26" s="58"/>
      <c r="C26" s="57"/>
      <c r="D26" s="60"/>
      <c r="E26" s="60"/>
      <c r="F26" s="60"/>
      <c r="G26" s="60"/>
      <c r="H26" s="3" t="s">
        <v>71</v>
      </c>
      <c r="M26" s="62"/>
      <c r="N26" s="58"/>
      <c r="O26" s="49"/>
      <c r="P26" s="63"/>
      <c r="Q26" s="63"/>
      <c r="R26" s="63"/>
      <c r="S26" s="60"/>
      <c r="T26" s="10" t="s">
        <v>71</v>
      </c>
    </row>
    <row r="27" spans="1:20" ht="28.25" customHeight="1">
      <c r="A27" s="62"/>
      <c r="B27" s="58"/>
      <c r="C27" s="57"/>
      <c r="D27" s="60"/>
      <c r="E27" s="60"/>
      <c r="F27" s="60"/>
      <c r="G27" s="60"/>
      <c r="H27" s="3" t="s">
        <v>72</v>
      </c>
      <c r="M27" s="62"/>
      <c r="N27" s="58"/>
      <c r="O27" s="49"/>
      <c r="P27" s="63"/>
      <c r="Q27" s="63"/>
      <c r="R27" s="63"/>
      <c r="S27" s="60"/>
      <c r="T27" s="10" t="s">
        <v>72</v>
      </c>
    </row>
    <row r="28" spans="1:20" ht="28.25" customHeight="1">
      <c r="A28" s="6">
        <v>8</v>
      </c>
      <c r="B28" s="5" t="s">
        <v>15</v>
      </c>
      <c r="C28" s="17">
        <f ca="1">OFFSET(main!E1,0,0)</f>
        <v>1</v>
      </c>
      <c r="D28" s="4" t="s">
        <v>18</v>
      </c>
      <c r="E28" s="35" t="s">
        <v>157</v>
      </c>
      <c r="F28" s="4" t="s">
        <v>18</v>
      </c>
      <c r="G28" s="4" t="s">
        <v>19</v>
      </c>
      <c r="H28" s="4" t="s">
        <v>36</v>
      </c>
      <c r="M28" s="6">
        <v>8</v>
      </c>
      <c r="N28" s="8" t="s">
        <v>15</v>
      </c>
      <c r="O28" s="17">
        <f>main!E1</f>
        <v>1</v>
      </c>
      <c r="P28" s="15" t="s">
        <v>18</v>
      </c>
      <c r="Q28" s="15" t="s">
        <v>18</v>
      </c>
      <c r="R28" s="15" t="s">
        <v>18</v>
      </c>
      <c r="S28" s="9" t="s">
        <v>19</v>
      </c>
      <c r="T28" s="9" t="s">
        <v>36</v>
      </c>
    </row>
    <row r="29" spans="1:20" ht="28.15" customHeight="1">
      <c r="A29" s="62">
        <v>9</v>
      </c>
      <c r="B29" s="58" t="s">
        <v>37</v>
      </c>
      <c r="C29" s="52">
        <v>0</v>
      </c>
      <c r="D29" s="60" t="s">
        <v>18</v>
      </c>
      <c r="E29" s="60" t="s">
        <v>18</v>
      </c>
      <c r="F29" s="60" t="s">
        <v>38</v>
      </c>
      <c r="G29" s="60" t="s">
        <v>25</v>
      </c>
      <c r="H29" s="3" t="s">
        <v>39</v>
      </c>
      <c r="M29" s="62">
        <v>9</v>
      </c>
      <c r="N29" s="58" t="s">
        <v>37</v>
      </c>
      <c r="O29" s="65">
        <v>0</v>
      </c>
      <c r="P29" s="63" t="s">
        <v>18</v>
      </c>
      <c r="Q29" s="63" t="s">
        <v>18</v>
      </c>
      <c r="R29" s="63" t="s">
        <v>38</v>
      </c>
      <c r="S29" s="60" t="s">
        <v>25</v>
      </c>
      <c r="T29" s="10" t="s">
        <v>39</v>
      </c>
    </row>
    <row r="30" spans="1:20" ht="28.25" customHeight="1">
      <c r="A30" s="62"/>
      <c r="B30" s="58"/>
      <c r="C30" s="52"/>
      <c r="D30" s="60"/>
      <c r="E30" s="60"/>
      <c r="F30" s="60"/>
      <c r="G30" s="60"/>
      <c r="H30" s="3" t="s">
        <v>40</v>
      </c>
      <c r="M30" s="62"/>
      <c r="N30" s="58"/>
      <c r="O30" s="65"/>
      <c r="P30" s="63"/>
      <c r="Q30" s="63"/>
      <c r="R30" s="63"/>
      <c r="S30" s="60"/>
      <c r="T30" s="10" t="s">
        <v>40</v>
      </c>
    </row>
    <row r="31" spans="1:20" ht="34.9" customHeight="1">
      <c r="A31" s="62"/>
      <c r="B31" s="58"/>
      <c r="C31" s="52"/>
      <c r="D31" s="60"/>
      <c r="E31" s="60"/>
      <c r="F31" s="60"/>
      <c r="G31" s="60"/>
      <c r="H31" s="3" t="s">
        <v>41</v>
      </c>
      <c r="M31" s="62"/>
      <c r="N31" s="58"/>
      <c r="O31" s="65"/>
      <c r="P31" s="63"/>
      <c r="Q31" s="63"/>
      <c r="R31" s="63"/>
      <c r="S31" s="60"/>
      <c r="T31" s="10" t="s">
        <v>41</v>
      </c>
    </row>
    <row r="32" spans="1:20" ht="28.25" customHeight="1">
      <c r="A32" s="62">
        <v>10</v>
      </c>
      <c r="B32" s="58" t="s">
        <v>42</v>
      </c>
      <c r="C32" s="52"/>
      <c r="D32" s="59" t="s">
        <v>43</v>
      </c>
      <c r="E32" s="59" t="s">
        <v>43</v>
      </c>
      <c r="F32" s="59" t="s">
        <v>38</v>
      </c>
      <c r="G32" s="59" t="s">
        <v>19</v>
      </c>
      <c r="H32" s="4" t="s">
        <v>39</v>
      </c>
      <c r="M32" s="62">
        <v>10</v>
      </c>
      <c r="N32" s="58" t="s">
        <v>42</v>
      </c>
      <c r="O32" s="65"/>
      <c r="P32" s="64" t="s">
        <v>43</v>
      </c>
      <c r="Q32" s="64" t="s">
        <v>43</v>
      </c>
      <c r="R32" s="15" t="s">
        <v>38</v>
      </c>
      <c r="S32" s="59" t="s">
        <v>19</v>
      </c>
      <c r="T32" s="9" t="s">
        <v>39</v>
      </c>
    </row>
    <row r="33" spans="1:20" ht="28.25" customHeight="1">
      <c r="A33" s="62"/>
      <c r="B33" s="58"/>
      <c r="C33" s="52"/>
      <c r="D33" s="59"/>
      <c r="E33" s="59"/>
      <c r="F33" s="59"/>
      <c r="G33" s="59"/>
      <c r="H33" s="4" t="s">
        <v>44</v>
      </c>
      <c r="M33" s="62"/>
      <c r="N33" s="58"/>
      <c r="O33" s="65"/>
      <c r="P33" s="64"/>
      <c r="Q33" s="64"/>
      <c r="R33" s="15"/>
      <c r="S33" s="59"/>
      <c r="T33" s="9" t="s">
        <v>44</v>
      </c>
    </row>
    <row r="34" spans="1:20" ht="28.25" customHeight="1">
      <c r="A34" s="62">
        <v>11</v>
      </c>
      <c r="B34" s="58" t="s">
        <v>13</v>
      </c>
      <c r="C34" s="52">
        <v>1</v>
      </c>
      <c r="D34" s="60" t="s">
        <v>18</v>
      </c>
      <c r="E34" s="60" t="s">
        <v>18</v>
      </c>
      <c r="F34" s="60" t="s">
        <v>18</v>
      </c>
      <c r="G34" s="60" t="s">
        <v>25</v>
      </c>
      <c r="H34" s="3" t="s">
        <v>45</v>
      </c>
      <c r="M34" s="62">
        <v>11</v>
      </c>
      <c r="N34" s="58" t="s">
        <v>13</v>
      </c>
      <c r="O34" s="65">
        <v>1</v>
      </c>
      <c r="P34" s="63" t="s">
        <v>18</v>
      </c>
      <c r="Q34" s="63" t="s">
        <v>18</v>
      </c>
      <c r="R34" s="63" t="s">
        <v>18</v>
      </c>
      <c r="S34" s="60" t="s">
        <v>25</v>
      </c>
      <c r="T34" s="10" t="s">
        <v>45</v>
      </c>
    </row>
    <row r="35" spans="1:20" ht="28.25" customHeight="1">
      <c r="A35" s="62"/>
      <c r="B35" s="58"/>
      <c r="C35" s="52"/>
      <c r="D35" s="60"/>
      <c r="E35" s="60"/>
      <c r="F35" s="60"/>
      <c r="G35" s="60"/>
      <c r="H35" s="3" t="s">
        <v>46</v>
      </c>
      <c r="M35" s="62"/>
      <c r="N35" s="58"/>
      <c r="O35" s="65"/>
      <c r="P35" s="63"/>
      <c r="Q35" s="63"/>
      <c r="R35" s="63"/>
      <c r="S35" s="60"/>
      <c r="T35" s="10" t="s">
        <v>46</v>
      </c>
    </row>
    <row r="36" spans="1:20" ht="28.25" customHeight="1">
      <c r="A36" s="62"/>
      <c r="B36" s="58"/>
      <c r="C36" s="52"/>
      <c r="D36" s="60"/>
      <c r="E36" s="60"/>
      <c r="F36" s="60"/>
      <c r="G36" s="60"/>
      <c r="H36" s="3" t="s">
        <v>47</v>
      </c>
      <c r="M36" s="62"/>
      <c r="N36" s="58"/>
      <c r="O36" s="65"/>
      <c r="P36" s="63"/>
      <c r="Q36" s="63"/>
      <c r="R36" s="63"/>
      <c r="S36" s="60"/>
      <c r="T36" s="10" t="s">
        <v>47</v>
      </c>
    </row>
    <row r="37" spans="1:20" ht="28.25" customHeight="1">
      <c r="A37" s="62"/>
      <c r="B37" s="58"/>
      <c r="C37" s="52"/>
      <c r="D37" s="60"/>
      <c r="E37" s="60"/>
      <c r="F37" s="60"/>
      <c r="G37" s="60"/>
      <c r="H37" s="3" t="s">
        <v>48</v>
      </c>
      <c r="M37" s="62"/>
      <c r="N37" s="58"/>
      <c r="O37" s="65"/>
      <c r="P37" s="63"/>
      <c r="Q37" s="63"/>
      <c r="R37" s="63"/>
      <c r="S37" s="60"/>
      <c r="T37" s="10" t="s">
        <v>48</v>
      </c>
    </row>
    <row r="38" spans="1:20" ht="28.25" customHeight="1">
      <c r="A38" s="62"/>
      <c r="B38" s="58"/>
      <c r="C38" s="52"/>
      <c r="D38" s="60"/>
      <c r="E38" s="60"/>
      <c r="F38" s="60"/>
      <c r="G38" s="60"/>
      <c r="H38" s="3" t="s">
        <v>49</v>
      </c>
      <c r="M38" s="62"/>
      <c r="N38" s="58"/>
      <c r="O38" s="65"/>
      <c r="P38" s="63"/>
      <c r="Q38" s="63"/>
      <c r="R38" s="63"/>
      <c r="S38" s="60"/>
      <c r="T38" s="10" t="s">
        <v>49</v>
      </c>
    </row>
    <row r="39" spans="1:20" ht="28.25" customHeight="1">
      <c r="A39" s="62"/>
      <c r="B39" s="58"/>
      <c r="C39" s="52"/>
      <c r="D39" s="60"/>
      <c r="E39" s="60"/>
      <c r="F39" s="60"/>
      <c r="G39" s="60"/>
      <c r="H39" s="3" t="s">
        <v>50</v>
      </c>
      <c r="M39" s="62"/>
      <c r="N39" s="58"/>
      <c r="O39" s="65"/>
      <c r="P39" s="63"/>
      <c r="Q39" s="63"/>
      <c r="R39" s="63"/>
      <c r="S39" s="60"/>
      <c r="T39" s="10" t="s">
        <v>50</v>
      </c>
    </row>
    <row r="40" spans="1:20" ht="28.25" customHeight="1">
      <c r="A40" s="62"/>
      <c r="B40" s="58"/>
      <c r="C40" s="52"/>
      <c r="D40" s="60"/>
      <c r="E40" s="60"/>
      <c r="F40" s="60"/>
      <c r="G40" s="60"/>
      <c r="H40" s="3" t="s">
        <v>51</v>
      </c>
      <c r="M40" s="62"/>
      <c r="N40" s="58"/>
      <c r="O40" s="65"/>
      <c r="P40" s="63"/>
      <c r="Q40" s="63"/>
      <c r="R40" s="63"/>
      <c r="S40" s="60"/>
      <c r="T40" s="10" t="s">
        <v>51</v>
      </c>
    </row>
    <row r="41" spans="1:20" ht="41.25" customHeight="1">
      <c r="A41" s="62"/>
      <c r="B41" s="58"/>
      <c r="C41" s="52"/>
      <c r="D41" s="60"/>
      <c r="E41" s="60"/>
      <c r="F41" s="60"/>
      <c r="G41" s="60"/>
      <c r="H41" s="3" t="s">
        <v>52</v>
      </c>
      <c r="M41" s="62"/>
      <c r="N41" s="58"/>
      <c r="O41" s="65"/>
      <c r="P41" s="63"/>
      <c r="Q41" s="63"/>
      <c r="R41" s="63"/>
      <c r="S41" s="60"/>
      <c r="T41" s="10" t="s">
        <v>52</v>
      </c>
    </row>
    <row r="42" spans="1:20" ht="28.25" customHeight="1">
      <c r="A42" s="62">
        <v>12</v>
      </c>
      <c r="B42" s="58" t="s">
        <v>14</v>
      </c>
      <c r="C42" s="52"/>
      <c r="D42" s="59" t="s">
        <v>43</v>
      </c>
      <c r="E42" s="59" t="s">
        <v>43</v>
      </c>
      <c r="F42" s="59" t="s">
        <v>43</v>
      </c>
      <c r="G42" s="4" t="s">
        <v>25</v>
      </c>
      <c r="H42" s="4" t="s">
        <v>54</v>
      </c>
      <c r="M42" s="62">
        <v>12</v>
      </c>
      <c r="N42" s="58" t="s">
        <v>14</v>
      </c>
      <c r="O42" s="65"/>
      <c r="P42" s="64" t="s">
        <v>43</v>
      </c>
      <c r="Q42" s="64" t="s">
        <v>43</v>
      </c>
      <c r="R42" s="64" t="s">
        <v>43</v>
      </c>
      <c r="S42" s="9" t="s">
        <v>25</v>
      </c>
      <c r="T42" s="9" t="s">
        <v>54</v>
      </c>
    </row>
    <row r="43" spans="1:20" ht="28.25" customHeight="1">
      <c r="A43" s="62"/>
      <c r="B43" s="58"/>
      <c r="C43" s="52"/>
      <c r="D43" s="59"/>
      <c r="E43" s="59"/>
      <c r="F43" s="59"/>
      <c r="G43" s="4" t="s">
        <v>53</v>
      </c>
      <c r="H43" s="4" t="s">
        <v>55</v>
      </c>
      <c r="M43" s="62"/>
      <c r="N43" s="58"/>
      <c r="O43" s="65"/>
      <c r="P43" s="64"/>
      <c r="Q43" s="64"/>
      <c r="R43" s="64"/>
      <c r="S43" s="9" t="s">
        <v>53</v>
      </c>
      <c r="T43" s="9" t="s">
        <v>55</v>
      </c>
    </row>
    <row r="44" spans="1:20" ht="28.25" customHeight="1">
      <c r="A44" s="62">
        <v>13</v>
      </c>
      <c r="B44" s="58" t="s">
        <v>11</v>
      </c>
      <c r="C44" s="57">
        <v>1</v>
      </c>
      <c r="D44" s="60" t="s">
        <v>18</v>
      </c>
      <c r="E44" s="60" t="s">
        <v>18</v>
      </c>
      <c r="F44" s="60" t="s">
        <v>18</v>
      </c>
      <c r="G44" s="60" t="s">
        <v>25</v>
      </c>
      <c r="H44" s="3" t="s">
        <v>56</v>
      </c>
      <c r="M44" s="62">
        <v>13</v>
      </c>
      <c r="N44" s="58" t="s">
        <v>11</v>
      </c>
      <c r="O44" s="49">
        <f>C44</f>
        <v>1</v>
      </c>
      <c r="P44" s="63" t="s">
        <v>18</v>
      </c>
      <c r="Q44" s="63" t="s">
        <v>18</v>
      </c>
      <c r="R44" s="63" t="s">
        <v>18</v>
      </c>
      <c r="S44" s="60" t="s">
        <v>25</v>
      </c>
      <c r="T44" s="10" t="s">
        <v>56</v>
      </c>
    </row>
    <row r="45" spans="1:20" ht="28.25" customHeight="1">
      <c r="A45" s="62"/>
      <c r="B45" s="58"/>
      <c r="C45" s="57"/>
      <c r="D45" s="60"/>
      <c r="E45" s="60"/>
      <c r="F45" s="60"/>
      <c r="G45" s="60"/>
      <c r="H45" s="3" t="s">
        <v>57</v>
      </c>
      <c r="M45" s="62"/>
      <c r="N45" s="58"/>
      <c r="O45" s="49"/>
      <c r="P45" s="63"/>
      <c r="Q45" s="63"/>
      <c r="R45" s="63"/>
      <c r="S45" s="60"/>
      <c r="T45" s="10" t="s">
        <v>57</v>
      </c>
    </row>
    <row r="46" spans="1:20" ht="53.65" customHeight="1">
      <c r="A46" s="6">
        <v>14</v>
      </c>
      <c r="B46" s="5" t="s">
        <v>73</v>
      </c>
      <c r="C46" s="13"/>
      <c r="D46" s="4" t="s">
        <v>38</v>
      </c>
      <c r="E46" s="4" t="s">
        <v>18</v>
      </c>
      <c r="F46" s="4" t="s">
        <v>18</v>
      </c>
      <c r="G46" s="4" t="s">
        <v>19</v>
      </c>
      <c r="H46" s="4" t="s">
        <v>74</v>
      </c>
      <c r="M46" s="62">
        <v>14</v>
      </c>
      <c r="N46" s="58" t="s">
        <v>106</v>
      </c>
      <c r="O46" s="49" t="str">
        <f>IF(発注!O17=1,建玉詳細!E6,IF(発注!O17=3,建玉詳細!L6,""))</f>
        <v/>
      </c>
      <c r="P46" s="64" t="s">
        <v>18</v>
      </c>
      <c r="Q46" s="64" t="s">
        <v>18</v>
      </c>
      <c r="R46" s="64" t="s">
        <v>18</v>
      </c>
      <c r="S46" s="9" t="s">
        <v>25</v>
      </c>
      <c r="T46" s="9" t="s">
        <v>107</v>
      </c>
    </row>
    <row r="47" spans="1:20" ht="28.25" customHeight="1">
      <c r="A47" s="62">
        <v>15</v>
      </c>
      <c r="B47" s="58" t="s">
        <v>75</v>
      </c>
      <c r="C47" s="52"/>
      <c r="D47" s="60" t="s">
        <v>38</v>
      </c>
      <c r="E47" s="60" t="s">
        <v>18</v>
      </c>
      <c r="F47" s="60" t="s">
        <v>18</v>
      </c>
      <c r="G47" s="60" t="s">
        <v>25</v>
      </c>
      <c r="H47" s="3" t="s">
        <v>74</v>
      </c>
      <c r="M47" s="62"/>
      <c r="N47" s="58"/>
      <c r="O47" s="49"/>
      <c r="P47" s="64"/>
      <c r="Q47" s="64"/>
      <c r="R47" s="64"/>
      <c r="S47" s="9" t="s">
        <v>53</v>
      </c>
      <c r="T47" s="9"/>
    </row>
    <row r="48" spans="1:20" ht="28.25" customHeight="1">
      <c r="A48" s="62"/>
      <c r="B48" s="58"/>
      <c r="C48" s="52"/>
      <c r="D48" s="60"/>
      <c r="E48" s="60"/>
      <c r="F48" s="60"/>
      <c r="G48" s="60"/>
      <c r="H48" s="3" t="s">
        <v>76</v>
      </c>
      <c r="M48" s="6">
        <v>15</v>
      </c>
      <c r="N48" s="8" t="s">
        <v>108</v>
      </c>
      <c r="O48" s="26" t="str">
        <f>IF(発注!O17=1,建玉詳細!D6,IF(発注!O17=3,建玉詳細!K6,""))</f>
        <v/>
      </c>
      <c r="P48" s="14" t="s">
        <v>18</v>
      </c>
      <c r="Q48" s="14" t="s">
        <v>18</v>
      </c>
      <c r="R48" s="14" t="s">
        <v>18</v>
      </c>
      <c r="S48" s="10" t="s">
        <v>19</v>
      </c>
      <c r="T48" s="10" t="s">
        <v>109</v>
      </c>
    </row>
    <row r="49" spans="1:20">
      <c r="A49" s="62"/>
      <c r="B49" s="58"/>
      <c r="C49" s="52"/>
      <c r="D49" s="60"/>
      <c r="E49" s="60"/>
      <c r="F49" s="60"/>
      <c r="G49" s="60"/>
      <c r="H49" s="3" t="s">
        <v>77</v>
      </c>
      <c r="M49" s="62">
        <v>16</v>
      </c>
      <c r="N49" s="58" t="s">
        <v>110</v>
      </c>
      <c r="O49" s="49" t="str">
        <f>IF(AND(発注!O17=1,建玉詳細!F6="東証"),1,IF(AND(発注!O17=1,建玉詳細!F6="JNX"),4,IF(AND(発注!O17=1,建玉詳細!F6="Chi-X"),6,IF(AND(発注!O17=3,建玉詳細!M6="東証"),1,IF(AND(発注!O17=3,建玉詳細!M6="JNX"),4,IF(AND(発注!O17=3,建玉詳細!M6="Chi-X"),6,""))))))</f>
        <v/>
      </c>
      <c r="P49" s="64" t="s">
        <v>18</v>
      </c>
      <c r="Q49" s="64" t="s">
        <v>18</v>
      </c>
      <c r="R49" s="64" t="s">
        <v>18</v>
      </c>
      <c r="S49" s="59" t="s">
        <v>19</v>
      </c>
      <c r="T49" s="9" t="s">
        <v>111</v>
      </c>
    </row>
    <row r="50" spans="1:20" ht="28.25" customHeight="1">
      <c r="A50" s="62">
        <v>16</v>
      </c>
      <c r="B50" s="58" t="s">
        <v>78</v>
      </c>
      <c r="C50" s="52"/>
      <c r="D50" s="59" t="s">
        <v>38</v>
      </c>
      <c r="E50" s="59" t="s">
        <v>18</v>
      </c>
      <c r="F50" s="59" t="s">
        <v>18</v>
      </c>
      <c r="G50" s="59" t="s">
        <v>25</v>
      </c>
      <c r="H50" s="4" t="s">
        <v>74</v>
      </c>
      <c r="M50" s="62"/>
      <c r="N50" s="58"/>
      <c r="O50" s="49"/>
      <c r="P50" s="64"/>
      <c r="Q50" s="64"/>
      <c r="R50" s="64"/>
      <c r="S50" s="59"/>
      <c r="T50" s="9" t="s">
        <v>112</v>
      </c>
    </row>
    <row r="51" spans="1:20" ht="28.25" customHeight="1">
      <c r="A51" s="62"/>
      <c r="B51" s="58"/>
      <c r="C51" s="52"/>
      <c r="D51" s="59"/>
      <c r="E51" s="59"/>
      <c r="F51" s="59"/>
      <c r="G51" s="59"/>
      <c r="H51" s="4" t="s">
        <v>40</v>
      </c>
      <c r="M51" s="62"/>
      <c r="N51" s="58"/>
      <c r="O51" s="49"/>
      <c r="P51" s="64"/>
      <c r="Q51" s="64"/>
      <c r="R51" s="64"/>
      <c r="S51" s="59"/>
      <c r="T51" s="9" t="s">
        <v>113</v>
      </c>
    </row>
    <row r="52" spans="1:20" ht="28.25" customHeight="1">
      <c r="A52" s="62"/>
      <c r="B52" s="58"/>
      <c r="C52" s="52"/>
      <c r="D52" s="59"/>
      <c r="E52" s="59"/>
      <c r="F52" s="59"/>
      <c r="G52" s="59"/>
      <c r="H52" s="4" t="s">
        <v>41</v>
      </c>
      <c r="M52" s="6">
        <v>17</v>
      </c>
      <c r="N52" s="8" t="s">
        <v>73</v>
      </c>
      <c r="O52" s="16"/>
      <c r="P52" s="14" t="s">
        <v>38</v>
      </c>
      <c r="Q52" s="14" t="s">
        <v>18</v>
      </c>
      <c r="R52" s="14" t="s">
        <v>18</v>
      </c>
      <c r="S52" s="10" t="s">
        <v>19</v>
      </c>
      <c r="T52" s="10" t="s">
        <v>114</v>
      </c>
    </row>
    <row r="53" spans="1:20" ht="28.25" customHeight="1">
      <c r="A53" s="62">
        <v>17</v>
      </c>
      <c r="B53" s="58" t="s">
        <v>79</v>
      </c>
      <c r="C53" s="52"/>
      <c r="D53" s="60" t="s">
        <v>38</v>
      </c>
      <c r="E53" s="60" t="s">
        <v>43</v>
      </c>
      <c r="F53" s="60" t="s">
        <v>43</v>
      </c>
      <c r="G53" s="60" t="s">
        <v>19</v>
      </c>
      <c r="H53" s="3" t="s">
        <v>74</v>
      </c>
      <c r="M53" s="62">
        <v>18</v>
      </c>
      <c r="N53" s="58" t="s">
        <v>75</v>
      </c>
      <c r="O53" s="65"/>
      <c r="P53" s="64" t="s">
        <v>38</v>
      </c>
      <c r="Q53" s="64" t="s">
        <v>18</v>
      </c>
      <c r="R53" s="64" t="s">
        <v>18</v>
      </c>
      <c r="S53" s="59" t="s">
        <v>25</v>
      </c>
      <c r="T53" s="9" t="s">
        <v>114</v>
      </c>
    </row>
    <row r="54" spans="1:20" ht="28.25" customHeight="1">
      <c r="A54" s="62"/>
      <c r="B54" s="58"/>
      <c r="C54" s="52"/>
      <c r="D54" s="60"/>
      <c r="E54" s="60"/>
      <c r="F54" s="60"/>
      <c r="G54" s="60"/>
      <c r="H54" s="3" t="s">
        <v>80</v>
      </c>
      <c r="M54" s="62"/>
      <c r="N54" s="58"/>
      <c r="O54" s="65"/>
      <c r="P54" s="64"/>
      <c r="Q54" s="64"/>
      <c r="R54" s="64"/>
      <c r="S54" s="59"/>
      <c r="T54" s="9" t="s">
        <v>76</v>
      </c>
    </row>
    <row r="55" spans="1:20" ht="28.25" customHeight="1">
      <c r="A55" s="62">
        <v>18</v>
      </c>
      <c r="B55" s="58" t="s">
        <v>81</v>
      </c>
      <c r="C55" s="52"/>
      <c r="D55" s="59" t="s">
        <v>43</v>
      </c>
      <c r="E55" s="59" t="s">
        <v>43</v>
      </c>
      <c r="F55" s="59" t="s">
        <v>43</v>
      </c>
      <c r="G55" s="59" t="s">
        <v>25</v>
      </c>
      <c r="H55" s="4" t="s">
        <v>82</v>
      </c>
      <c r="M55" s="62"/>
      <c r="N55" s="58"/>
      <c r="O55" s="65"/>
      <c r="P55" s="64"/>
      <c r="Q55" s="64"/>
      <c r="R55" s="64"/>
      <c r="S55" s="59"/>
      <c r="T55" s="9" t="s">
        <v>77</v>
      </c>
    </row>
    <row r="56" spans="1:20" ht="50.25" customHeight="1">
      <c r="A56" s="62"/>
      <c r="B56" s="58"/>
      <c r="C56" s="52"/>
      <c r="D56" s="59"/>
      <c r="E56" s="59"/>
      <c r="F56" s="59"/>
      <c r="G56" s="59"/>
      <c r="H56" s="4" t="s">
        <v>83</v>
      </c>
      <c r="M56" s="62">
        <v>19</v>
      </c>
      <c r="N56" s="58" t="s">
        <v>78</v>
      </c>
      <c r="O56" s="65"/>
      <c r="P56" s="63" t="s">
        <v>38</v>
      </c>
      <c r="Q56" s="63" t="s">
        <v>18</v>
      </c>
      <c r="R56" s="63" t="s">
        <v>18</v>
      </c>
      <c r="S56" s="60" t="s">
        <v>25</v>
      </c>
      <c r="T56" s="10" t="s">
        <v>114</v>
      </c>
    </row>
    <row r="57" spans="1:20" ht="28.25" customHeight="1">
      <c r="A57" s="62"/>
      <c r="B57" s="58"/>
      <c r="C57" s="52"/>
      <c r="D57" s="59"/>
      <c r="E57" s="59"/>
      <c r="F57" s="59"/>
      <c r="G57" s="59"/>
      <c r="H57" s="4" t="s">
        <v>84</v>
      </c>
      <c r="M57" s="62"/>
      <c r="N57" s="58"/>
      <c r="O57" s="65"/>
      <c r="P57" s="63"/>
      <c r="Q57" s="63"/>
      <c r="R57" s="63"/>
      <c r="S57" s="60"/>
      <c r="T57" s="10" t="s">
        <v>40</v>
      </c>
    </row>
    <row r="58" spans="1:20" ht="30.4" customHeight="1">
      <c r="A58" s="62">
        <v>19</v>
      </c>
      <c r="B58" s="58" t="s">
        <v>85</v>
      </c>
      <c r="C58" s="52"/>
      <c r="D58" s="60" t="s">
        <v>43</v>
      </c>
      <c r="E58" s="60" t="s">
        <v>43</v>
      </c>
      <c r="F58" s="60" t="s">
        <v>43</v>
      </c>
      <c r="G58" s="60" t="s">
        <v>25</v>
      </c>
      <c r="H58" s="3" t="s">
        <v>86</v>
      </c>
      <c r="M58" s="62"/>
      <c r="N58" s="58"/>
      <c r="O58" s="65"/>
      <c r="P58" s="63"/>
      <c r="Q58" s="63"/>
      <c r="R58" s="63"/>
      <c r="S58" s="60"/>
      <c r="T58" s="10" t="s">
        <v>41</v>
      </c>
    </row>
    <row r="59" spans="1:20" ht="28.25" customHeight="1">
      <c r="A59" s="62"/>
      <c r="B59" s="58"/>
      <c r="C59" s="52"/>
      <c r="D59" s="60"/>
      <c r="E59" s="60"/>
      <c r="F59" s="60"/>
      <c r="G59" s="60"/>
      <c r="H59" s="3" t="s">
        <v>87</v>
      </c>
      <c r="M59" s="62">
        <v>20</v>
      </c>
      <c r="N59" s="58" t="s">
        <v>79</v>
      </c>
      <c r="O59" s="65"/>
      <c r="P59" s="64" t="s">
        <v>38</v>
      </c>
      <c r="Q59" s="64" t="s">
        <v>43</v>
      </c>
      <c r="R59" s="64" t="s">
        <v>43</v>
      </c>
      <c r="S59" s="59" t="s">
        <v>19</v>
      </c>
      <c r="T59" s="9" t="s">
        <v>114</v>
      </c>
    </row>
    <row r="60" spans="1:20" ht="28.25" customHeight="1">
      <c r="A60" s="62"/>
      <c r="B60" s="58"/>
      <c r="C60" s="52"/>
      <c r="D60" s="60"/>
      <c r="E60" s="60"/>
      <c r="F60" s="60"/>
      <c r="G60" s="60"/>
      <c r="H60" s="3" t="s">
        <v>88</v>
      </c>
      <c r="M60" s="62"/>
      <c r="N60" s="58"/>
      <c r="O60" s="65"/>
      <c r="P60" s="64"/>
      <c r="Q60" s="64"/>
      <c r="R60" s="64"/>
      <c r="S60" s="59"/>
      <c r="T60" s="9" t="s">
        <v>80</v>
      </c>
    </row>
    <row r="61" spans="1:20" ht="58.15" customHeight="1">
      <c r="A61" s="6">
        <v>20</v>
      </c>
      <c r="B61" s="5" t="s">
        <v>89</v>
      </c>
      <c r="C61" s="13"/>
      <c r="D61" s="4" t="s">
        <v>43</v>
      </c>
      <c r="E61" s="4" t="s">
        <v>43</v>
      </c>
      <c r="F61" s="4" t="s">
        <v>43</v>
      </c>
      <c r="G61" s="4" t="s">
        <v>19</v>
      </c>
      <c r="H61" s="4" t="s">
        <v>90</v>
      </c>
    </row>
    <row r="62" spans="1:20" ht="41.25" customHeight="1">
      <c r="A62" s="62">
        <v>21</v>
      </c>
      <c r="B62" s="58" t="s">
        <v>91</v>
      </c>
      <c r="C62" s="52"/>
      <c r="D62" s="60" t="s">
        <v>43</v>
      </c>
      <c r="E62" s="60" t="s">
        <v>43</v>
      </c>
      <c r="F62" s="60" t="s">
        <v>43</v>
      </c>
      <c r="G62" s="60" t="s">
        <v>25</v>
      </c>
      <c r="H62" s="3" t="s">
        <v>92</v>
      </c>
    </row>
    <row r="63" spans="1:20" ht="28.25" customHeight="1">
      <c r="A63" s="62"/>
      <c r="B63" s="58"/>
      <c r="C63" s="52"/>
      <c r="D63" s="60"/>
      <c r="E63" s="60"/>
      <c r="F63" s="60"/>
      <c r="G63" s="60"/>
      <c r="H63" s="3" t="s">
        <v>45</v>
      </c>
    </row>
    <row r="64" spans="1:20" ht="28.25" customHeight="1">
      <c r="A64" s="62"/>
      <c r="B64" s="58"/>
      <c r="C64" s="52"/>
      <c r="D64" s="60"/>
      <c r="E64" s="60"/>
      <c r="F64" s="60"/>
      <c r="G64" s="60"/>
      <c r="H64" s="3" t="s">
        <v>46</v>
      </c>
    </row>
    <row r="65" spans="1:8" ht="28.25" customHeight="1">
      <c r="A65" s="62"/>
      <c r="B65" s="58"/>
      <c r="C65" s="52"/>
      <c r="D65" s="60"/>
      <c r="E65" s="60"/>
      <c r="F65" s="60"/>
      <c r="G65" s="60"/>
      <c r="H65" s="3" t="s">
        <v>47</v>
      </c>
    </row>
    <row r="66" spans="1:8" ht="28.25" customHeight="1">
      <c r="A66" s="62"/>
      <c r="B66" s="58"/>
      <c r="C66" s="52"/>
      <c r="D66" s="60"/>
      <c r="E66" s="60"/>
      <c r="F66" s="60"/>
      <c r="G66" s="60"/>
      <c r="H66" s="3" t="s">
        <v>48</v>
      </c>
    </row>
    <row r="67" spans="1:8" ht="28.25" customHeight="1">
      <c r="A67" s="62"/>
      <c r="B67" s="58"/>
      <c r="C67" s="52"/>
      <c r="D67" s="60"/>
      <c r="E67" s="60"/>
      <c r="F67" s="60"/>
      <c r="G67" s="60"/>
      <c r="H67" s="3" t="s">
        <v>49</v>
      </c>
    </row>
    <row r="68" spans="1:8" ht="28.25" customHeight="1">
      <c r="A68" s="62"/>
      <c r="B68" s="58"/>
      <c r="C68" s="52"/>
      <c r="D68" s="60"/>
      <c r="E68" s="60"/>
      <c r="F68" s="60"/>
      <c r="G68" s="60"/>
      <c r="H68" s="3" t="s">
        <v>50</v>
      </c>
    </row>
    <row r="69" spans="1:8" ht="28.25" customHeight="1">
      <c r="A69" s="62"/>
      <c r="B69" s="58"/>
      <c r="C69" s="52"/>
      <c r="D69" s="60"/>
      <c r="E69" s="60"/>
      <c r="F69" s="60"/>
      <c r="G69" s="60"/>
      <c r="H69" s="3" t="s">
        <v>51</v>
      </c>
    </row>
    <row r="70" spans="1:8" ht="52.15" customHeight="1">
      <c r="A70" s="62"/>
      <c r="B70" s="58"/>
      <c r="C70" s="52"/>
      <c r="D70" s="60"/>
      <c r="E70" s="60"/>
      <c r="F70" s="60"/>
      <c r="G70" s="60"/>
      <c r="H70" s="3" t="s">
        <v>52</v>
      </c>
    </row>
    <row r="71" spans="1:8" ht="28.25" customHeight="1">
      <c r="A71" s="62">
        <v>22</v>
      </c>
      <c r="B71" s="58" t="s">
        <v>93</v>
      </c>
      <c r="C71" s="52"/>
      <c r="D71" s="59" t="s">
        <v>43</v>
      </c>
      <c r="E71" s="59" t="s">
        <v>43</v>
      </c>
      <c r="F71" s="59" t="s">
        <v>43</v>
      </c>
      <c r="G71" s="4" t="s">
        <v>25</v>
      </c>
      <c r="H71" s="4" t="s">
        <v>94</v>
      </c>
    </row>
    <row r="72" spans="1:8" ht="46.5" customHeight="1">
      <c r="A72" s="62"/>
      <c r="B72" s="58"/>
      <c r="C72" s="52"/>
      <c r="D72" s="59"/>
      <c r="E72" s="59"/>
      <c r="F72" s="59"/>
      <c r="G72" s="4" t="s">
        <v>53</v>
      </c>
      <c r="H72" s="4" t="s">
        <v>55</v>
      </c>
    </row>
    <row r="76" spans="1:8" ht="17.649999999999999" customHeight="1"/>
  </sheetData>
  <mergeCells count="255">
    <mergeCell ref="A71:A72"/>
    <mergeCell ref="A34:A41"/>
    <mergeCell ref="A42:A43"/>
    <mergeCell ref="A44:A45"/>
    <mergeCell ref="A47:A49"/>
    <mergeCell ref="A50:A52"/>
    <mergeCell ref="A53:A54"/>
    <mergeCell ref="A55:A57"/>
    <mergeCell ref="A58:A60"/>
    <mergeCell ref="A62:A70"/>
    <mergeCell ref="A8:A9"/>
    <mergeCell ref="A10:A12"/>
    <mergeCell ref="A13:A16"/>
    <mergeCell ref="A17:A18"/>
    <mergeCell ref="A19:A21"/>
    <mergeCell ref="A22:A23"/>
    <mergeCell ref="A24:A27"/>
    <mergeCell ref="A29:A31"/>
    <mergeCell ref="A32:A33"/>
    <mergeCell ref="R59:R60"/>
    <mergeCell ref="O5:O7"/>
    <mergeCell ref="O8:O9"/>
    <mergeCell ref="O10:O12"/>
    <mergeCell ref="O13:O16"/>
    <mergeCell ref="O17:O18"/>
    <mergeCell ref="O19:O21"/>
    <mergeCell ref="O22:O23"/>
    <mergeCell ref="O24:O27"/>
    <mergeCell ref="O29:O31"/>
    <mergeCell ref="O32:O33"/>
    <mergeCell ref="O34:O41"/>
    <mergeCell ref="O42:O43"/>
    <mergeCell ref="O44:O45"/>
    <mergeCell ref="O46:O47"/>
    <mergeCell ref="O49:O51"/>
    <mergeCell ref="O53:O55"/>
    <mergeCell ref="O56:O58"/>
    <mergeCell ref="O59:O60"/>
    <mergeCell ref="P53:P55"/>
    <mergeCell ref="Q53:Q55"/>
    <mergeCell ref="Q32:Q33"/>
    <mergeCell ref="Q13:Q16"/>
    <mergeCell ref="M59:M60"/>
    <mergeCell ref="N59:N60"/>
    <mergeCell ref="P59:P60"/>
    <mergeCell ref="Q59:Q60"/>
    <mergeCell ref="S59:S60"/>
    <mergeCell ref="P5:R5"/>
    <mergeCell ref="R8:R9"/>
    <mergeCell ref="R10:R12"/>
    <mergeCell ref="R13:R16"/>
    <mergeCell ref="R24:R27"/>
    <mergeCell ref="R19:R21"/>
    <mergeCell ref="R22:R23"/>
    <mergeCell ref="R29:R31"/>
    <mergeCell ref="R34:R41"/>
    <mergeCell ref="Q42:Q43"/>
    <mergeCell ref="R42:R43"/>
    <mergeCell ref="Q44:Q45"/>
    <mergeCell ref="R44:R45"/>
    <mergeCell ref="R46:R47"/>
    <mergeCell ref="R49:R51"/>
    <mergeCell ref="R53:R55"/>
    <mergeCell ref="R56:R58"/>
    <mergeCell ref="M53:M55"/>
    <mergeCell ref="N53:N55"/>
    <mergeCell ref="S53:S55"/>
    <mergeCell ref="M56:M58"/>
    <mergeCell ref="N56:N58"/>
    <mergeCell ref="P56:P58"/>
    <mergeCell ref="Q56:Q58"/>
    <mergeCell ref="S56:S58"/>
    <mergeCell ref="S44:S45"/>
    <mergeCell ref="M46:M47"/>
    <mergeCell ref="N46:N47"/>
    <mergeCell ref="P46:P47"/>
    <mergeCell ref="Q46:Q47"/>
    <mergeCell ref="M49:M51"/>
    <mergeCell ref="N49:N51"/>
    <mergeCell ref="P49:P51"/>
    <mergeCell ref="Q49:Q51"/>
    <mergeCell ref="S49:S51"/>
    <mergeCell ref="M42:M43"/>
    <mergeCell ref="N42:N43"/>
    <mergeCell ref="P42:P43"/>
    <mergeCell ref="M44:M45"/>
    <mergeCell ref="N44:N45"/>
    <mergeCell ref="P44:P45"/>
    <mergeCell ref="M32:M33"/>
    <mergeCell ref="N32:N33"/>
    <mergeCell ref="P32:P33"/>
    <mergeCell ref="S32:S33"/>
    <mergeCell ref="M34:M41"/>
    <mergeCell ref="N34:N41"/>
    <mergeCell ref="P34:P41"/>
    <mergeCell ref="Q34:Q41"/>
    <mergeCell ref="S34:S41"/>
    <mergeCell ref="M24:M27"/>
    <mergeCell ref="N24:N27"/>
    <mergeCell ref="P24:P27"/>
    <mergeCell ref="Q24:Q27"/>
    <mergeCell ref="S24:S27"/>
    <mergeCell ref="M29:M31"/>
    <mergeCell ref="N29:N31"/>
    <mergeCell ref="P29:P31"/>
    <mergeCell ref="Q29:Q31"/>
    <mergeCell ref="S29:S31"/>
    <mergeCell ref="M19:M21"/>
    <mergeCell ref="N19:N21"/>
    <mergeCell ref="P19:P21"/>
    <mergeCell ref="Q19:Q21"/>
    <mergeCell ref="S19:S21"/>
    <mergeCell ref="M22:M23"/>
    <mergeCell ref="N22:N23"/>
    <mergeCell ref="P22:P23"/>
    <mergeCell ref="Q22:Q23"/>
    <mergeCell ref="S22:S23"/>
    <mergeCell ref="S13:S16"/>
    <mergeCell ref="M17:M18"/>
    <mergeCell ref="N17:N18"/>
    <mergeCell ref="P17:P18"/>
    <mergeCell ref="S17:S18"/>
    <mergeCell ref="F13:F16"/>
    <mergeCell ref="C10:C12"/>
    <mergeCell ref="C13:C16"/>
    <mergeCell ref="C17:C18"/>
    <mergeCell ref="M13:M16"/>
    <mergeCell ref="N13:N16"/>
    <mergeCell ref="P13:P16"/>
    <mergeCell ref="M5:M7"/>
    <mergeCell ref="N5:N7"/>
    <mergeCell ref="S5:S7"/>
    <mergeCell ref="M8:M9"/>
    <mergeCell ref="N8:N9"/>
    <mergeCell ref="P8:P9"/>
    <mergeCell ref="Q8:Q9"/>
    <mergeCell ref="S8:S9"/>
    <mergeCell ref="M10:M12"/>
    <mergeCell ref="N10:N12"/>
    <mergeCell ref="P10:P12"/>
    <mergeCell ref="Q10:Q12"/>
    <mergeCell ref="S10:S12"/>
    <mergeCell ref="B5:B7"/>
    <mergeCell ref="D5:F5"/>
    <mergeCell ref="G5:G7"/>
    <mergeCell ref="H5:H7"/>
    <mergeCell ref="B8:B9"/>
    <mergeCell ref="D8:D9"/>
    <mergeCell ref="E8:E9"/>
    <mergeCell ref="C8:C9"/>
    <mergeCell ref="B17:B18"/>
    <mergeCell ref="D17:D18"/>
    <mergeCell ref="E17:E18"/>
    <mergeCell ref="G13:G16"/>
    <mergeCell ref="F17:F18"/>
    <mergeCell ref="G17:G18"/>
    <mergeCell ref="F8:F9"/>
    <mergeCell ref="G8:G9"/>
    <mergeCell ref="B10:B12"/>
    <mergeCell ref="D10:D12"/>
    <mergeCell ref="E10:E12"/>
    <mergeCell ref="F10:F12"/>
    <mergeCell ref="G10:G12"/>
    <mergeCell ref="B13:B16"/>
    <mergeCell ref="D13:D16"/>
    <mergeCell ref="E13:E16"/>
    <mergeCell ref="B29:B31"/>
    <mergeCell ref="D29:D31"/>
    <mergeCell ref="E29:E31"/>
    <mergeCell ref="F29:F31"/>
    <mergeCell ref="G29:G31"/>
    <mergeCell ref="F19:F21"/>
    <mergeCell ref="G19:G21"/>
    <mergeCell ref="B22:B23"/>
    <mergeCell ref="D22:D23"/>
    <mergeCell ref="E22:E23"/>
    <mergeCell ref="F22:F23"/>
    <mergeCell ref="G22:G23"/>
    <mergeCell ref="B24:B27"/>
    <mergeCell ref="D24:D27"/>
    <mergeCell ref="E24:E27"/>
    <mergeCell ref="F24:F27"/>
    <mergeCell ref="G24:G27"/>
    <mergeCell ref="B19:B21"/>
    <mergeCell ref="D19:D21"/>
    <mergeCell ref="E19:E21"/>
    <mergeCell ref="C19:C21"/>
    <mergeCell ref="C22:C23"/>
    <mergeCell ref="B34:B41"/>
    <mergeCell ref="D34:D41"/>
    <mergeCell ref="E34:E41"/>
    <mergeCell ref="F34:F41"/>
    <mergeCell ref="G34:G41"/>
    <mergeCell ref="B32:B33"/>
    <mergeCell ref="D32:D33"/>
    <mergeCell ref="E32:E33"/>
    <mergeCell ref="F32:F33"/>
    <mergeCell ref="G32:G33"/>
    <mergeCell ref="G44:G45"/>
    <mergeCell ref="B47:B49"/>
    <mergeCell ref="D47:D49"/>
    <mergeCell ref="E47:E49"/>
    <mergeCell ref="F47:F49"/>
    <mergeCell ref="G47:G49"/>
    <mergeCell ref="B42:B43"/>
    <mergeCell ref="D42:D43"/>
    <mergeCell ref="E42:E43"/>
    <mergeCell ref="F42:F43"/>
    <mergeCell ref="B44:B45"/>
    <mergeCell ref="D44:D45"/>
    <mergeCell ref="E44:E45"/>
    <mergeCell ref="F44:F45"/>
    <mergeCell ref="B53:B54"/>
    <mergeCell ref="D53:D54"/>
    <mergeCell ref="E53:E54"/>
    <mergeCell ref="F53:F54"/>
    <mergeCell ref="G53:G54"/>
    <mergeCell ref="B50:B52"/>
    <mergeCell ref="D50:D52"/>
    <mergeCell ref="E50:E52"/>
    <mergeCell ref="F50:F52"/>
    <mergeCell ref="G50:G52"/>
    <mergeCell ref="C53:C54"/>
    <mergeCell ref="B58:B60"/>
    <mergeCell ref="D58:D60"/>
    <mergeCell ref="E58:E60"/>
    <mergeCell ref="F58:F60"/>
    <mergeCell ref="G58:G60"/>
    <mergeCell ref="B55:B57"/>
    <mergeCell ref="D55:D57"/>
    <mergeCell ref="E55:E57"/>
    <mergeCell ref="F55:F57"/>
    <mergeCell ref="G55:G57"/>
    <mergeCell ref="C55:C57"/>
    <mergeCell ref="C58:C60"/>
    <mergeCell ref="B71:B72"/>
    <mergeCell ref="D71:D72"/>
    <mergeCell ref="E71:E72"/>
    <mergeCell ref="F71:F72"/>
    <mergeCell ref="B62:B70"/>
    <mergeCell ref="D62:D70"/>
    <mergeCell ref="E62:E70"/>
    <mergeCell ref="F62:F70"/>
    <mergeCell ref="G62:G70"/>
    <mergeCell ref="C71:C72"/>
    <mergeCell ref="C62:C70"/>
    <mergeCell ref="C5:C7"/>
    <mergeCell ref="C24:C27"/>
    <mergeCell ref="C29:C31"/>
    <mergeCell ref="C32:C33"/>
    <mergeCell ref="C34:C41"/>
    <mergeCell ref="C42:C43"/>
    <mergeCell ref="C44:C45"/>
    <mergeCell ref="C47:C49"/>
    <mergeCell ref="C50:C52"/>
  </mergeCells>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4E07B46D718F5047925B625EC0921FE6" ma:contentTypeVersion="10" ma:contentTypeDescription="新しいドキュメントを作成します。" ma:contentTypeScope="" ma:versionID="da6a11aa42043887904fe17430d2166e">
  <xsd:schema xmlns:xsd="http://www.w3.org/2001/XMLSchema" xmlns:xs="http://www.w3.org/2001/XMLSchema" xmlns:p="http://schemas.microsoft.com/office/2006/metadata/properties" xmlns:ns3="ff529e85-0be0-4f84-bfc7-fbcb40403367" targetNamespace="http://schemas.microsoft.com/office/2006/metadata/properties" ma:root="true" ma:fieldsID="af5b7808401e4807b3cb688477668e82" ns3:_="">
    <xsd:import namespace="ff529e85-0be0-4f84-bfc7-fbcb4040336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529e85-0be0-4f84-bfc7-fbcb404033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Location" ma:index="13" nillable="true" ma:displayName="Location" ma:indexed="true"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69AE4B-E60A-49E2-9709-8DF9CE5EF750}">
  <ds:schemaRefs>
    <ds:schemaRef ds:uri="http://purl.org/dc/dcmitype/"/>
    <ds:schemaRef ds:uri="http://schemas.microsoft.com/office/2006/documentManagement/types"/>
    <ds:schemaRef ds:uri="ff529e85-0be0-4f84-bfc7-fbcb40403367"/>
    <ds:schemaRef ds:uri="http://purl.org/dc/terms/"/>
    <ds:schemaRef ds:uri="http://www.w3.org/XML/1998/namespace"/>
    <ds:schemaRef ds:uri="http://purl.org/dc/elements/1.1/"/>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8829074C-0643-460C-ACE6-4E1E7696043A}">
  <ds:schemaRefs>
    <ds:schemaRef ds:uri="http://schemas.microsoft.com/sharepoint/v3/contenttype/forms"/>
  </ds:schemaRefs>
</ds:datastoreItem>
</file>

<file path=customXml/itemProps3.xml><?xml version="1.0" encoding="utf-8"?>
<ds:datastoreItem xmlns:ds="http://schemas.openxmlformats.org/officeDocument/2006/customXml" ds:itemID="{877E2367-3FD4-4677-B105-A4E59A2216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529e85-0be0-4f84-bfc7-fbcb404033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注意事項</vt:lpstr>
      <vt:lpstr>main</vt:lpstr>
      <vt:lpstr>エラー・結果</vt:lpstr>
      <vt:lpstr>建玉詳細</vt:lpstr>
      <vt:lpstr>発注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TANAKA Yusei</dc:creator>
  <cp:lastModifiedBy>TANAKA Yusei</cp:lastModifiedBy>
  <dcterms:created xsi:type="dcterms:W3CDTF">2023-11-06T08:19:17Z</dcterms:created>
  <dcterms:modified xsi:type="dcterms:W3CDTF">2024-03-26T00:25:06Z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0x0101004E07B46D718F5047925B625EC0921FE6</vt:lpwstr>
  </property>
</Properties>
</file>